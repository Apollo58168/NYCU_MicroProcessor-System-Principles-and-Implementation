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Apollo\Desktop\NYCU\semester5\mpd\Hw5\"/>
    </mc:Choice>
  </mc:AlternateContent>
  <xr:revisionPtr revIDLastSave="0" documentId="13_ncr:1_{A2A50348-037F-4AB0-8582-49AD558FC882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工作表1" sheetId="1" r:id="rId1"/>
    <sheet name="Repor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22" i="1" l="1"/>
  <c r="C58" i="2"/>
  <c r="C57" i="2"/>
  <c r="C56" i="2"/>
  <c r="C55" i="2"/>
  <c r="C54" i="2"/>
  <c r="C53" i="2"/>
  <c r="D58" i="2"/>
  <c r="D57" i="2"/>
  <c r="D56" i="2"/>
  <c r="D55" i="2"/>
  <c r="D54" i="2"/>
  <c r="D53" i="2"/>
  <c r="B58" i="2"/>
  <c r="B57" i="2"/>
  <c r="B56" i="2"/>
  <c r="B55" i="2"/>
  <c r="B54" i="2"/>
  <c r="B53" i="2"/>
  <c r="F30" i="2"/>
  <c r="G30" i="2" s="1"/>
  <c r="F33" i="2"/>
  <c r="G33" i="2" s="1"/>
  <c r="F34" i="2"/>
  <c r="F35" i="2"/>
  <c r="G35" i="2" s="1"/>
  <c r="F36" i="2"/>
  <c r="G36" i="2" s="1"/>
  <c r="F31" i="2"/>
  <c r="G31" i="2" s="1"/>
  <c r="D12" i="2"/>
  <c r="F38" i="2" s="1"/>
  <c r="G38" i="2" s="1"/>
  <c r="D7" i="2"/>
  <c r="F32" i="2" s="1"/>
  <c r="E31" i="2"/>
  <c r="E32" i="2"/>
  <c r="E33" i="2"/>
  <c r="E35" i="2"/>
  <c r="E36" i="2"/>
  <c r="E38" i="2"/>
  <c r="E30" i="2"/>
  <c r="C31" i="2"/>
  <c r="C32" i="2"/>
  <c r="C33" i="2"/>
  <c r="C35" i="2"/>
  <c r="C36" i="2"/>
  <c r="C38" i="2"/>
  <c r="C30" i="2"/>
  <c r="C12" i="2"/>
  <c r="E17" i="2" s="1"/>
  <c r="D17" i="2"/>
  <c r="D20" i="2"/>
  <c r="D22" i="2"/>
  <c r="D23" i="2"/>
  <c r="D18" i="2"/>
  <c r="B22" i="2"/>
  <c r="B23" i="2"/>
  <c r="B17" i="2"/>
  <c r="B20" i="2"/>
  <c r="B18" i="2"/>
  <c r="F18" i="2" s="1"/>
  <c r="C7" i="2"/>
  <c r="D19" i="2" s="1"/>
  <c r="B12" i="2"/>
  <c r="C20" i="2" s="1"/>
  <c r="B7" i="2"/>
  <c r="B19" i="2" s="1"/>
  <c r="F19" i="2" s="1"/>
  <c r="N11" i="1"/>
  <c r="N8" i="1"/>
  <c r="N9" i="1"/>
  <c r="M11" i="1"/>
  <c r="M8" i="1"/>
  <c r="M9" i="1"/>
  <c r="L8" i="1"/>
  <c r="L9" i="1"/>
  <c r="K8" i="1"/>
  <c r="K9" i="1"/>
  <c r="J8" i="1"/>
  <c r="J9" i="1"/>
  <c r="I8" i="1"/>
  <c r="I9" i="1"/>
  <c r="H8" i="1"/>
  <c r="H9" i="1" s="1"/>
  <c r="G8" i="1"/>
  <c r="G9" i="1" s="1"/>
  <c r="F8" i="1"/>
  <c r="F9" i="1"/>
  <c r="E8" i="1"/>
  <c r="E9" i="1"/>
  <c r="C8" i="1"/>
  <c r="C9" i="1" s="1"/>
  <c r="D8" i="1"/>
  <c r="D9" i="1" s="1"/>
  <c r="B8" i="1"/>
  <c r="B9" i="1"/>
  <c r="J11" i="1" s="1"/>
  <c r="F23" i="2" l="1"/>
  <c r="F22" i="2"/>
  <c r="F20" i="2"/>
  <c r="F17" i="2"/>
  <c r="C19" i="2"/>
  <c r="C17" i="2"/>
  <c r="B25" i="2"/>
  <c r="G32" i="2"/>
  <c r="E23" i="2"/>
  <c r="E22" i="2"/>
  <c r="E20" i="2"/>
  <c r="E19" i="2"/>
  <c r="D25" i="2"/>
  <c r="E18" i="2"/>
  <c r="C18" i="2"/>
  <c r="C23" i="2"/>
  <c r="C22" i="2"/>
  <c r="I11" i="1"/>
  <c r="L11" i="1"/>
  <c r="K11" i="1"/>
  <c r="G11" i="1"/>
  <c r="H11" i="1"/>
  <c r="F25" i="2" l="1"/>
</calcChain>
</file>

<file path=xl/sharedStrings.xml><?xml version="1.0" encoding="utf-8"?>
<sst xmlns="http://schemas.openxmlformats.org/spreadsheetml/2006/main" count="110" uniqueCount="63">
  <si>
    <t>ms</t>
    <phoneticPr fontId="1" type="noConversion"/>
  </si>
  <si>
    <t>conv_layer</t>
    <phoneticPr fontId="1" type="noConversion"/>
  </si>
  <si>
    <t>conv_compute</t>
    <phoneticPr fontId="1" type="noConversion"/>
  </si>
  <si>
    <t>conv_copy</t>
    <phoneticPr fontId="1" type="noConversion"/>
  </si>
  <si>
    <t>fc</t>
    <phoneticPr fontId="1" type="noConversion"/>
  </si>
  <si>
    <t>avg</t>
    <phoneticPr fontId="1" type="noConversion"/>
  </si>
  <si>
    <t>basic</t>
    <phoneticPr fontId="1" type="noConversion"/>
  </si>
  <si>
    <t>sum</t>
    <phoneticPr fontId="1" type="noConversion"/>
  </si>
  <si>
    <t>conv3d + fc</t>
    <phoneticPr fontId="1" type="noConversion"/>
  </si>
  <si>
    <t>conv3d + fc + avg</t>
    <phoneticPr fontId="1" type="noConversion"/>
  </si>
  <si>
    <t>conv3d + fc + avg + buffer</t>
    <phoneticPr fontId="1" type="noConversion"/>
  </si>
  <si>
    <t>conv3d + fc + avg + max_dsp</t>
    <phoneticPr fontId="1" type="noConversion"/>
  </si>
  <si>
    <t>conv3d + fc + avg + buffer + (latency = 2)</t>
    <phoneticPr fontId="1" type="noConversion"/>
  </si>
  <si>
    <t>slice LUT</t>
    <phoneticPr fontId="1" type="noConversion"/>
  </si>
  <si>
    <t>slice reg</t>
    <phoneticPr fontId="1" type="noConversion"/>
  </si>
  <si>
    <t>f7 muxes</t>
    <phoneticPr fontId="1" type="noConversion"/>
  </si>
  <si>
    <t>f8 muxes</t>
    <phoneticPr fontId="1" type="noConversion"/>
  </si>
  <si>
    <t>slice</t>
    <phoneticPr fontId="1" type="noConversion"/>
  </si>
  <si>
    <t>BRAM</t>
    <phoneticPr fontId="1" type="noConversion"/>
  </si>
  <si>
    <t>DSP</t>
    <phoneticPr fontId="1" type="noConversion"/>
  </si>
  <si>
    <t>prev+ (latency = 2)</t>
    <phoneticPr fontId="1" type="noConversion"/>
  </si>
  <si>
    <t>prev + pool_accum</t>
    <phoneticPr fontId="1" type="noConversion"/>
  </si>
  <si>
    <t>prev + conv_relu</t>
    <phoneticPr fontId="1" type="noConversion"/>
  </si>
  <si>
    <t>prev + pool_buffer</t>
    <phoneticPr fontId="1" type="noConversion"/>
  </si>
  <si>
    <t>prev + fc_buffer</t>
    <phoneticPr fontId="1" type="noConversion"/>
  </si>
  <si>
    <t>prev + fc_weight_preloaded</t>
    <phoneticPr fontId="1" type="noConversion"/>
  </si>
  <si>
    <t>prev + conv_weight_preloaded</t>
    <phoneticPr fontId="1" type="noConversion"/>
  </si>
  <si>
    <t>prev + DSP</t>
    <phoneticPr fontId="1" type="noConversion"/>
  </si>
  <si>
    <t>With FPU</t>
    <phoneticPr fontId="1" type="noConversion"/>
  </si>
  <si>
    <t>Without FPU</t>
    <phoneticPr fontId="1" type="noConversion"/>
  </si>
  <si>
    <t>Execute Time (ms)</t>
    <phoneticPr fontId="1" type="noConversion"/>
  </si>
  <si>
    <t>Baseline</t>
  </si>
  <si>
    <t>Baseline</t>
    <phoneticPr fontId="1" type="noConversion"/>
  </si>
  <si>
    <t>Conv_Compute</t>
    <phoneticPr fontId="1" type="noConversion"/>
  </si>
  <si>
    <t>Conv_Activate</t>
    <phoneticPr fontId="1" type="noConversion"/>
  </si>
  <si>
    <t>Conv_Total</t>
    <phoneticPr fontId="1" type="noConversion"/>
  </si>
  <si>
    <t>Copy_and_Pad</t>
    <phoneticPr fontId="1" type="noConversion"/>
  </si>
  <si>
    <t>FC_Total</t>
    <phoneticPr fontId="1" type="noConversion"/>
  </si>
  <si>
    <t>Pooling_Total</t>
    <phoneticPr fontId="1" type="noConversion"/>
  </si>
  <si>
    <t>Overall</t>
    <phoneticPr fontId="1" type="noConversion"/>
  </si>
  <si>
    <t>MMIO</t>
    <phoneticPr fontId="1" type="noConversion"/>
  </si>
  <si>
    <t>uart</t>
    <phoneticPr fontId="1" type="noConversion"/>
  </si>
  <si>
    <t>0xC000_0000 ~ 0xC0FF_FFFF</t>
    <phoneticPr fontId="1" type="noConversion"/>
  </si>
  <si>
    <t>spi</t>
    <phoneticPr fontId="1" type="noConversion"/>
  </si>
  <si>
    <t>dsa</t>
    <phoneticPr fontId="1" type="noConversion"/>
  </si>
  <si>
    <t>0xC400_0000 ~ 0xC4FF_FFFF</t>
    <phoneticPr fontId="1" type="noConversion"/>
  </si>
  <si>
    <t>Basic</t>
    <phoneticPr fontId="1" type="noConversion"/>
  </si>
  <si>
    <t>Time (ms)</t>
  </si>
  <si>
    <t>Time (ms)</t>
    <phoneticPr fontId="1" type="noConversion"/>
  </si>
  <si>
    <t>ratio (%)</t>
    <phoneticPr fontId="1" type="noConversion"/>
  </si>
  <si>
    <t>speed up</t>
    <phoneticPr fontId="1" type="noConversion"/>
  </si>
  <si>
    <t>Advanced</t>
    <phoneticPr fontId="1" type="noConversion"/>
  </si>
  <si>
    <t>Aquila</t>
    <phoneticPr fontId="1" type="noConversion"/>
  </si>
  <si>
    <t>slice LUTs</t>
    <phoneticPr fontId="1" type="noConversion"/>
  </si>
  <si>
    <t>slice Registers</t>
    <phoneticPr fontId="1" type="noConversion"/>
  </si>
  <si>
    <t>F7 muxes</t>
    <phoneticPr fontId="1" type="noConversion"/>
  </si>
  <si>
    <t>F8 muxes</t>
    <phoneticPr fontId="1" type="noConversion"/>
  </si>
  <si>
    <t>LUT logic</t>
    <phoneticPr fontId="1" type="noConversion"/>
  </si>
  <si>
    <t>LUT mem</t>
    <phoneticPr fontId="1" type="noConversion"/>
  </si>
  <si>
    <t>LUTs</t>
    <phoneticPr fontId="1" type="noConversion"/>
  </si>
  <si>
    <t>LUT (logic)</t>
    <phoneticPr fontId="1" type="noConversion"/>
  </si>
  <si>
    <t xml:space="preserve">LUT (mem) </t>
    <phoneticPr fontId="1" type="noConversion"/>
  </si>
  <si>
    <t>D Flip-Flop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</si>
</sst>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0.00_);[Red]\(0.00\)"/>
  </numFmts>
  <fonts count="4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/>
    <xf numFmtId="11" fontId="2" fillId="0" borderId="0" xfId="0" applyNumberFormat="1" applyFont="1"/>
    <xf numFmtId="10" fontId="2" fillId="0" borderId="0" xfId="0" applyNumberFormat="1" applyFont="1"/>
    <xf numFmtId="0" fontId="3" fillId="0" borderId="0" xfId="0" applyFont="1" applyAlignment="1">
      <alignment horizontal="center"/>
    </xf>
    <xf numFmtId="0" fontId="3" fillId="0" borderId="1" xfId="0" applyFont="1" applyBorder="1"/>
    <xf numFmtId="0" fontId="3" fillId="0" borderId="2" xfId="0" applyFont="1" applyBorder="1"/>
    <xf numFmtId="0" fontId="3" fillId="0" borderId="3" xfId="0" applyFont="1" applyBorder="1"/>
    <xf numFmtId="0" fontId="3" fillId="0" borderId="4" xfId="0" applyFont="1" applyBorder="1"/>
    <xf numFmtId="177" fontId="2" fillId="0" borderId="0" xfId="0" applyNumberFormat="1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67"/>
  <sheetViews>
    <sheetView tabSelected="1" zoomScale="110" zoomScaleNormal="110" workbookViewId="0">
      <selection activeCell="A30" sqref="A30:B35"/>
    </sheetView>
  </sheetViews>
  <sheetFormatPr defaultRowHeight="15" x14ac:dyDescent="0.25"/>
  <cols>
    <col min="1" max="1" width="14.42578125" style="1" bestFit="1" customWidth="1"/>
    <col min="2" max="2" width="11.85546875" style="1" bestFit="1" customWidth="1"/>
    <col min="3" max="3" width="13" style="1" bestFit="1" customWidth="1"/>
    <col min="4" max="4" width="17.85546875" style="1" bestFit="1" customWidth="1"/>
    <col min="5" max="5" width="29" style="1" bestFit="1" customWidth="1"/>
    <col min="6" max="6" width="26.140625" style="1" bestFit="1" customWidth="1"/>
    <col min="7" max="8" width="18.85546875" style="1" bestFit="1" customWidth="1"/>
    <col min="9" max="9" width="16.7109375" style="1" bestFit="1" customWidth="1"/>
    <col min="10" max="10" width="18.28515625" style="1" bestFit="1" customWidth="1"/>
    <col min="11" max="11" width="16.42578125" style="1" bestFit="1" customWidth="1"/>
    <col min="12" max="12" width="27.28515625" style="1" bestFit="1" customWidth="1"/>
    <col min="13" max="13" width="29.85546875" style="1" bestFit="1" customWidth="1"/>
    <col min="14" max="14" width="13" style="1" bestFit="1" customWidth="1"/>
    <col min="15" max="16384" width="9.140625" style="1"/>
  </cols>
  <sheetData>
    <row r="1" spans="1:14" x14ac:dyDescent="0.25">
      <c r="B1" s="1" t="s">
        <v>6</v>
      </c>
      <c r="C1" s="1" t="s">
        <v>8</v>
      </c>
      <c r="D1" s="1" t="s">
        <v>9</v>
      </c>
      <c r="E1" s="1" t="s">
        <v>11</v>
      </c>
      <c r="F1" s="1" t="s">
        <v>10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</row>
    <row r="2" spans="1:14" x14ac:dyDescent="0.25">
      <c r="A2" s="1" t="s">
        <v>2</v>
      </c>
      <c r="B2" s="1">
        <v>2589403808</v>
      </c>
      <c r="C2" s="1">
        <v>445958727</v>
      </c>
      <c r="D2" s="1">
        <v>445341312</v>
      </c>
      <c r="E2" s="1">
        <v>586333040</v>
      </c>
      <c r="F2" s="1">
        <v>184493247</v>
      </c>
      <c r="G2" s="1">
        <v>44193410</v>
      </c>
      <c r="H2" s="1">
        <v>40570341</v>
      </c>
      <c r="I2" s="1">
        <v>40594116</v>
      </c>
      <c r="J2" s="1">
        <v>40585154</v>
      </c>
      <c r="K2" s="1">
        <v>40584881</v>
      </c>
      <c r="L2" s="1">
        <v>40585199</v>
      </c>
      <c r="M2" s="1">
        <v>38012243</v>
      </c>
      <c r="N2" s="1">
        <v>38004001</v>
      </c>
    </row>
    <row r="3" spans="1:14" x14ac:dyDescent="0.25">
      <c r="A3" s="1" t="s">
        <v>3</v>
      </c>
      <c r="B3" s="1">
        <v>3949942</v>
      </c>
      <c r="C3" s="1">
        <v>3943999</v>
      </c>
      <c r="D3" s="1">
        <v>3942510</v>
      </c>
      <c r="E3" s="1">
        <v>3927889</v>
      </c>
      <c r="F3" s="1">
        <v>3884638</v>
      </c>
      <c r="G3" s="1">
        <v>3886362</v>
      </c>
      <c r="H3" s="1">
        <v>3883917</v>
      </c>
      <c r="I3" s="1">
        <v>4214200</v>
      </c>
      <c r="J3" s="1">
        <v>3772168</v>
      </c>
      <c r="K3" s="1">
        <v>3772517</v>
      </c>
      <c r="L3" s="1">
        <v>3772758</v>
      </c>
      <c r="M3" s="1">
        <v>3773178</v>
      </c>
      <c r="N3" s="1">
        <v>3771496</v>
      </c>
    </row>
    <row r="4" spans="1:14" x14ac:dyDescent="0.25">
      <c r="A4" s="1" t="s">
        <v>1</v>
      </c>
      <c r="B4" s="1">
        <v>2625682648</v>
      </c>
      <c r="C4" s="1">
        <v>482377762</v>
      </c>
      <c r="D4" s="1">
        <v>481613217</v>
      </c>
      <c r="E4" s="1">
        <v>623022098</v>
      </c>
      <c r="F4" s="1">
        <v>217557404</v>
      </c>
      <c r="G4" s="1">
        <v>77211235</v>
      </c>
      <c r="H4" s="1">
        <v>73607154</v>
      </c>
      <c r="I4" s="1">
        <v>44811883</v>
      </c>
      <c r="J4" s="1">
        <v>44359155</v>
      </c>
      <c r="K4" s="1">
        <v>44359264</v>
      </c>
      <c r="L4" s="1">
        <v>44359790</v>
      </c>
      <c r="M4" s="1">
        <v>41788417</v>
      </c>
      <c r="N4" s="1">
        <v>41778497</v>
      </c>
    </row>
    <row r="5" spans="1:14" x14ac:dyDescent="0.25">
      <c r="A5" s="1" t="s">
        <v>4</v>
      </c>
      <c r="B5" s="1">
        <v>50367097</v>
      </c>
      <c r="C5" s="1">
        <v>60375370</v>
      </c>
      <c r="D5" s="1">
        <v>30675247</v>
      </c>
      <c r="E5" s="1">
        <v>39084811</v>
      </c>
      <c r="F5" s="1">
        <v>38990899</v>
      </c>
      <c r="G5" s="1">
        <v>30530677</v>
      </c>
      <c r="H5" s="1">
        <v>30554682</v>
      </c>
      <c r="I5" s="1">
        <v>24479729</v>
      </c>
      <c r="J5" s="1">
        <v>24388515</v>
      </c>
      <c r="K5" s="1">
        <v>15825267</v>
      </c>
      <c r="L5" s="1">
        <v>4094504</v>
      </c>
      <c r="M5" s="1">
        <v>4078960</v>
      </c>
      <c r="N5" s="1">
        <v>4078632</v>
      </c>
    </row>
    <row r="6" spans="1:14" x14ac:dyDescent="0.25">
      <c r="A6" s="1" t="s">
        <v>5</v>
      </c>
      <c r="B6" s="1">
        <v>140613097</v>
      </c>
      <c r="C6" s="1">
        <v>50656000</v>
      </c>
      <c r="D6" s="1">
        <v>44040011</v>
      </c>
      <c r="E6" s="1">
        <v>43668946</v>
      </c>
      <c r="F6" s="1">
        <v>42552427</v>
      </c>
      <c r="G6" s="1">
        <v>42842499</v>
      </c>
      <c r="H6" s="1">
        <v>31157247</v>
      </c>
      <c r="I6" s="1">
        <v>29525849</v>
      </c>
      <c r="J6" s="1">
        <v>6315986</v>
      </c>
      <c r="K6" s="1">
        <v>6316393</v>
      </c>
      <c r="L6" s="1">
        <v>6317620</v>
      </c>
      <c r="M6" s="1">
        <v>6327852</v>
      </c>
      <c r="N6" s="1">
        <v>6318465</v>
      </c>
    </row>
    <row r="8" spans="1:14" x14ac:dyDescent="0.25">
      <c r="A8" s="1" t="s">
        <v>7</v>
      </c>
      <c r="B8" s="1">
        <f t="shared" ref="B8:G8" si="0">B4+B5+B6</f>
        <v>2816662842</v>
      </c>
      <c r="C8" s="1">
        <f t="shared" si="0"/>
        <v>593409132</v>
      </c>
      <c r="D8" s="1">
        <f t="shared" si="0"/>
        <v>556328475</v>
      </c>
      <c r="E8" s="1">
        <f t="shared" si="0"/>
        <v>705775855</v>
      </c>
      <c r="F8" s="1">
        <f t="shared" si="0"/>
        <v>299100730</v>
      </c>
      <c r="G8" s="1">
        <f t="shared" si="0"/>
        <v>150584411</v>
      </c>
      <c r="H8" s="1">
        <f t="shared" ref="H8:I8" si="1">H4+H5+H6</f>
        <v>135319083</v>
      </c>
      <c r="I8" s="1">
        <f t="shared" si="1"/>
        <v>98817461</v>
      </c>
      <c r="J8" s="1">
        <f t="shared" ref="J8:K8" si="2">J4+J5+J6</f>
        <v>75063656</v>
      </c>
      <c r="K8" s="1">
        <f t="shared" si="2"/>
        <v>66500924</v>
      </c>
      <c r="L8" s="1">
        <f>L4+L5+L6</f>
        <v>54771914</v>
      </c>
      <c r="M8" s="1">
        <f>M4+M5+M6</f>
        <v>52195229</v>
      </c>
      <c r="N8" s="1">
        <f>N4+N5+N6</f>
        <v>52175594</v>
      </c>
    </row>
    <row r="9" spans="1:14" x14ac:dyDescent="0.25">
      <c r="A9" s="1" t="s">
        <v>0</v>
      </c>
      <c r="B9" s="1">
        <f t="shared" ref="B9:L9" si="3">B8/50000</f>
        <v>56333.256840000002</v>
      </c>
      <c r="C9" s="1">
        <f t="shared" si="3"/>
        <v>11868.182640000001</v>
      </c>
      <c r="D9" s="1">
        <f t="shared" si="3"/>
        <v>11126.5695</v>
      </c>
      <c r="E9" s="1">
        <f t="shared" si="3"/>
        <v>14115.517099999999</v>
      </c>
      <c r="F9" s="1">
        <f t="shared" si="3"/>
        <v>5982.0146000000004</v>
      </c>
      <c r="G9" s="1">
        <f t="shared" si="3"/>
        <v>3011.68822</v>
      </c>
      <c r="H9" s="1">
        <f t="shared" si="3"/>
        <v>2706.38166</v>
      </c>
      <c r="I9" s="1">
        <f t="shared" si="3"/>
        <v>1976.3492200000001</v>
      </c>
      <c r="J9" s="1">
        <f t="shared" si="3"/>
        <v>1501.2731200000001</v>
      </c>
      <c r="K9" s="1">
        <f t="shared" si="3"/>
        <v>1330.01848</v>
      </c>
      <c r="L9" s="1">
        <f>L8/50000</f>
        <v>1095.4382800000001</v>
      </c>
      <c r="M9" s="1">
        <f>M8/50000</f>
        <v>1043.9045799999999</v>
      </c>
      <c r="N9" s="1">
        <f>N8/50000</f>
        <v>1043.51188</v>
      </c>
    </row>
    <row r="11" spans="1:14" x14ac:dyDescent="0.25">
      <c r="B11" s="1" t="s">
        <v>12</v>
      </c>
      <c r="G11" s="1">
        <f>B9/G9</f>
        <v>18.704876708652133</v>
      </c>
      <c r="H11" s="1">
        <f>B9/H9</f>
        <v>20.814971396162949</v>
      </c>
      <c r="I11" s="1">
        <f>B9/I9</f>
        <v>28.503695738549688</v>
      </c>
      <c r="J11" s="1">
        <f>B9/J9</f>
        <v>37.52365648164006</v>
      </c>
      <c r="K11" s="1">
        <f>B9/K9</f>
        <v>42.355243695561285</v>
      </c>
      <c r="L11" s="1">
        <f>B9/L9</f>
        <v>51.425313382329492</v>
      </c>
      <c r="M11" s="1">
        <f>B9/M9</f>
        <v>53.963990501890514</v>
      </c>
      <c r="N11" s="1">
        <f>B9/N9</f>
        <v>53.984298520875491</v>
      </c>
    </row>
    <row r="12" spans="1:14" x14ac:dyDescent="0.25">
      <c r="A12" s="1" t="s">
        <v>2</v>
      </c>
      <c r="B12" s="1">
        <v>44193410</v>
      </c>
    </row>
    <row r="13" spans="1:14" x14ac:dyDescent="0.25">
      <c r="A13" s="1" t="s">
        <v>3</v>
      </c>
      <c r="B13" s="1">
        <v>3886362</v>
      </c>
    </row>
    <row r="14" spans="1:14" x14ac:dyDescent="0.25">
      <c r="A14" s="1" t="s">
        <v>1</v>
      </c>
      <c r="B14" s="1">
        <v>77211235</v>
      </c>
    </row>
    <row r="15" spans="1:14" x14ac:dyDescent="0.25">
      <c r="A15" s="1" t="s">
        <v>4</v>
      </c>
      <c r="B15" s="1">
        <v>30530677</v>
      </c>
    </row>
    <row r="16" spans="1:14" x14ac:dyDescent="0.25">
      <c r="A16" s="1" t="s">
        <v>5</v>
      </c>
      <c r="B16" s="1">
        <v>42842499</v>
      </c>
    </row>
    <row r="18" spans="1:10" x14ac:dyDescent="0.25">
      <c r="A18" s="1" t="s">
        <v>13</v>
      </c>
      <c r="B18" s="3">
        <v>0.41460000000000002</v>
      </c>
    </row>
    <row r="19" spans="1:10" x14ac:dyDescent="0.25">
      <c r="A19" s="1" t="s">
        <v>14</v>
      </c>
      <c r="B19" s="3">
        <v>0.18079999999999999</v>
      </c>
    </row>
    <row r="20" spans="1:10" x14ac:dyDescent="0.25">
      <c r="A20" s="1" t="s">
        <v>15</v>
      </c>
      <c r="B20" s="3">
        <v>5.5E-2</v>
      </c>
    </row>
    <row r="21" spans="1:10" x14ac:dyDescent="0.25">
      <c r="A21" s="1" t="s">
        <v>16</v>
      </c>
      <c r="B21" s="3">
        <v>1.55E-2</v>
      </c>
      <c r="E21" s="1">
        <v>801</v>
      </c>
    </row>
    <row r="22" spans="1:10" x14ac:dyDescent="0.25">
      <c r="A22" s="1" t="s">
        <v>17</v>
      </c>
      <c r="B22" s="3">
        <v>0.57240000000000002</v>
      </c>
      <c r="E22" s="1">
        <f>B9/E21</f>
        <v>70.328660224719101</v>
      </c>
    </row>
    <row r="23" spans="1:10" x14ac:dyDescent="0.25">
      <c r="A23" s="1" t="s">
        <v>18</v>
      </c>
      <c r="B23" s="3">
        <v>0.3407</v>
      </c>
    </row>
    <row r="24" spans="1:10" x14ac:dyDescent="0.25">
      <c r="A24" s="1" t="s">
        <v>19</v>
      </c>
      <c r="B24" s="3">
        <v>7.9200000000000007E-2</v>
      </c>
    </row>
    <row r="30" spans="1:10" x14ac:dyDescent="0.25">
      <c r="B30" s="1" t="s">
        <v>24</v>
      </c>
      <c r="J30" s="2"/>
    </row>
    <row r="31" spans="1:10" x14ac:dyDescent="0.25">
      <c r="A31" s="1" t="s">
        <v>2</v>
      </c>
      <c r="B31" s="1">
        <v>40584881</v>
      </c>
    </row>
    <row r="32" spans="1:10" x14ac:dyDescent="0.25">
      <c r="A32" s="1" t="s">
        <v>3</v>
      </c>
      <c r="B32" s="1">
        <v>3772517</v>
      </c>
    </row>
    <row r="33" spans="1:3" x14ac:dyDescent="0.25">
      <c r="A33" s="1" t="s">
        <v>1</v>
      </c>
      <c r="B33" s="1">
        <v>44359264</v>
      </c>
    </row>
    <row r="34" spans="1:3" x14ac:dyDescent="0.25">
      <c r="A34" s="1" t="s">
        <v>4</v>
      </c>
      <c r="B34" s="1">
        <v>15825267</v>
      </c>
    </row>
    <row r="35" spans="1:3" x14ac:dyDescent="0.25">
      <c r="A35" s="1" t="s">
        <v>5</v>
      </c>
      <c r="B35" s="1">
        <v>6316393</v>
      </c>
    </row>
    <row r="47" spans="1:3" x14ac:dyDescent="0.25">
      <c r="C47" s="2"/>
    </row>
    <row r="55" spans="3:10" x14ac:dyDescent="0.25">
      <c r="C55" s="2"/>
    </row>
    <row r="56" spans="3:10" x14ac:dyDescent="0.25">
      <c r="J56" s="2"/>
    </row>
    <row r="64" spans="3:10" x14ac:dyDescent="0.25">
      <c r="C64" s="2"/>
    </row>
    <row r="127" spans="3:10" x14ac:dyDescent="0.25">
      <c r="C127" s="2"/>
    </row>
    <row r="128" spans="3:10" x14ac:dyDescent="0.25">
      <c r="J128" s="2"/>
    </row>
    <row r="157" spans="3:3" x14ac:dyDescent="0.25">
      <c r="C157" s="2"/>
    </row>
    <row r="166" spans="3:10" x14ac:dyDescent="0.25">
      <c r="J166" s="2"/>
    </row>
    <row r="167" spans="3:10" x14ac:dyDescent="0.25">
      <c r="C167" s="2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05908A-EB4F-4CA7-9DF9-A7C4F230B46F}">
  <dimension ref="A1:N58"/>
  <sheetViews>
    <sheetView topLeftCell="A4" zoomScaleNormal="100" workbookViewId="0">
      <selection activeCell="I25" sqref="I25"/>
    </sheetView>
  </sheetViews>
  <sheetFormatPr defaultRowHeight="15" x14ac:dyDescent="0.25"/>
  <cols>
    <col min="1" max="1" width="18.85546875" style="1" bestFit="1" customWidth="1"/>
    <col min="2" max="2" width="13" style="1" bestFit="1" customWidth="1"/>
    <col min="3" max="3" width="13.140625" style="1" bestFit="1" customWidth="1"/>
    <col min="4" max="7" width="13" style="1" bestFit="1" customWidth="1"/>
    <col min="8" max="8" width="30.28515625" style="1" bestFit="1" customWidth="1"/>
    <col min="9" max="13" width="9.140625" style="1"/>
    <col min="14" max="14" width="30.28515625" style="1" bestFit="1" customWidth="1"/>
    <col min="15" max="16384" width="9.140625" style="1"/>
  </cols>
  <sheetData>
    <row r="1" spans="1:14" x14ac:dyDescent="0.25">
      <c r="B1" s="1" t="s">
        <v>28</v>
      </c>
      <c r="C1" s="1" t="s">
        <v>29</v>
      </c>
      <c r="N1" s="1" t="s">
        <v>40</v>
      </c>
    </row>
    <row r="2" spans="1:14" x14ac:dyDescent="0.25">
      <c r="A2" s="1" t="s">
        <v>30</v>
      </c>
      <c r="B2" s="1">
        <v>7915</v>
      </c>
      <c r="C2" s="1">
        <v>56333</v>
      </c>
      <c r="M2" s="1" t="s">
        <v>41</v>
      </c>
      <c r="N2" s="1" t="s">
        <v>42</v>
      </c>
    </row>
    <row r="3" spans="1:14" x14ac:dyDescent="0.25">
      <c r="M3" s="1" t="s">
        <v>43</v>
      </c>
      <c r="N3" s="1" t="s">
        <v>42</v>
      </c>
    </row>
    <row r="4" spans="1:14" x14ac:dyDescent="0.25">
      <c r="B4" s="1" t="s">
        <v>32</v>
      </c>
      <c r="C4" s="1" t="s">
        <v>46</v>
      </c>
      <c r="D4" s="1" t="s">
        <v>51</v>
      </c>
      <c r="M4" s="1" t="s">
        <v>44</v>
      </c>
      <c r="N4" s="1" t="s">
        <v>45</v>
      </c>
    </row>
    <row r="5" spans="1:14" x14ac:dyDescent="0.25">
      <c r="A5" s="1" t="s">
        <v>36</v>
      </c>
      <c r="B5" s="1">
        <v>2589403808</v>
      </c>
      <c r="C5" s="1">
        <v>445958727</v>
      </c>
      <c r="D5" s="1">
        <v>38012243</v>
      </c>
    </row>
    <row r="6" spans="1:14" x14ac:dyDescent="0.25">
      <c r="A6" s="1" t="s">
        <v>33</v>
      </c>
      <c r="B6" s="1">
        <v>3949942</v>
      </c>
      <c r="C6" s="1">
        <v>3943999</v>
      </c>
      <c r="D6" s="1">
        <v>3773178</v>
      </c>
    </row>
    <row r="7" spans="1:14" x14ac:dyDescent="0.25">
      <c r="A7" s="1" t="s">
        <v>34</v>
      </c>
      <c r="B7" s="1">
        <f>B8-B6-工作表1!B2</f>
        <v>32328898</v>
      </c>
      <c r="C7" s="1">
        <f>C8-C6-工作表1!C2</f>
        <v>32475036</v>
      </c>
      <c r="D7" s="1">
        <f>D8-D5</f>
        <v>3776174</v>
      </c>
    </row>
    <row r="8" spans="1:14" x14ac:dyDescent="0.25">
      <c r="A8" s="1" t="s">
        <v>35</v>
      </c>
      <c r="B8" s="1">
        <v>2625682648</v>
      </c>
      <c r="C8" s="1">
        <v>482377762</v>
      </c>
      <c r="D8" s="1">
        <v>41788417</v>
      </c>
    </row>
    <row r="10" spans="1:14" x14ac:dyDescent="0.25">
      <c r="A10" s="1" t="s">
        <v>37</v>
      </c>
      <c r="B10" s="1">
        <v>50367097</v>
      </c>
      <c r="C10" s="1">
        <v>60375370</v>
      </c>
      <c r="D10" s="1">
        <v>4078960</v>
      </c>
    </row>
    <row r="11" spans="1:14" x14ac:dyDescent="0.25">
      <c r="A11" s="1" t="s">
        <v>38</v>
      </c>
      <c r="B11" s="1">
        <v>140613097</v>
      </c>
      <c r="C11" s="1">
        <v>50656000</v>
      </c>
      <c r="D11" s="1">
        <v>6327852</v>
      </c>
    </row>
    <row r="12" spans="1:14" x14ac:dyDescent="0.25">
      <c r="A12" s="1" t="s">
        <v>39</v>
      </c>
      <c r="B12" s="1">
        <f>B8+B10+B11</f>
        <v>2816662842</v>
      </c>
      <c r="C12" s="1">
        <f>C8+C10+C11</f>
        <v>593409132</v>
      </c>
      <c r="D12" s="1">
        <f>D8+D10+D11</f>
        <v>52195229</v>
      </c>
    </row>
    <row r="15" spans="1:14" x14ac:dyDescent="0.25">
      <c r="B15" s="1" t="s">
        <v>32</v>
      </c>
      <c r="D15" s="1" t="s">
        <v>46</v>
      </c>
    </row>
    <row r="16" spans="1:14" x14ac:dyDescent="0.25">
      <c r="B16" s="1" t="s">
        <v>48</v>
      </c>
      <c r="C16" s="1" t="s">
        <v>49</v>
      </c>
      <c r="D16" s="1" t="s">
        <v>48</v>
      </c>
      <c r="E16" s="1" t="s">
        <v>49</v>
      </c>
      <c r="F16" s="1" t="s">
        <v>50</v>
      </c>
    </row>
    <row r="17" spans="1:7" x14ac:dyDescent="0.25">
      <c r="A17" s="1" t="s">
        <v>36</v>
      </c>
      <c r="B17" s="1">
        <f>B6/50000</f>
        <v>78.998840000000001</v>
      </c>
      <c r="C17" s="1">
        <f>B6/$B$12 %</f>
        <v>0.14023481763956183</v>
      </c>
      <c r="D17" s="1">
        <f>C6/50000</f>
        <v>78.879980000000003</v>
      </c>
      <c r="E17" s="1">
        <f>C6/$C$12 %</f>
        <v>0.6646340252141586</v>
      </c>
      <c r="F17" s="1">
        <f>B17/D17</f>
        <v>1.0015068462238454</v>
      </c>
    </row>
    <row r="18" spans="1:7" x14ac:dyDescent="0.25">
      <c r="A18" s="1" t="s">
        <v>33</v>
      </c>
      <c r="B18" s="1">
        <f>B5/50000</f>
        <v>51788.076159999997</v>
      </c>
      <c r="C18" s="1">
        <f>工作表1!B2/$B$12 %</f>
        <v>91.931620973185673</v>
      </c>
      <c r="D18" s="1">
        <f>C5/50000</f>
        <v>8919.17454</v>
      </c>
      <c r="E18" s="1">
        <f>C5/$C$12 %</f>
        <v>75.151982494263336</v>
      </c>
      <c r="F18" s="1">
        <f>B18/D18</f>
        <v>5.806375458597091</v>
      </c>
    </row>
    <row r="19" spans="1:7" x14ac:dyDescent="0.25">
      <c r="A19" s="1" t="s">
        <v>34</v>
      </c>
      <c r="B19" s="1">
        <f>B7/50000</f>
        <v>646.57795999999996</v>
      </c>
      <c r="C19" s="1">
        <f>B7/$B$12 %</f>
        <v>1.1477730851536543</v>
      </c>
      <c r="D19" s="1">
        <f>C7/50000</f>
        <v>649.50072</v>
      </c>
      <c r="E19" s="1">
        <f>C7/$C$12 %</f>
        <v>5.4726215436805914</v>
      </c>
      <c r="F19" s="1">
        <f t="shared" ref="F19:F25" si="0">B19/D19</f>
        <v>0.99549998959200536</v>
      </c>
    </row>
    <row r="20" spans="1:7" x14ac:dyDescent="0.25">
      <c r="A20" s="1" t="s">
        <v>35</v>
      </c>
      <c r="B20" s="1">
        <f>B8/50000</f>
        <v>52513.652959999999</v>
      </c>
      <c r="C20" s="1">
        <f>B8/$B$12 %</f>
        <v>93.219628875978898</v>
      </c>
      <c r="D20" s="1">
        <f>C8/50000</f>
        <v>9647.5552399999997</v>
      </c>
      <c r="E20" s="1">
        <f>C8/$C$12 %</f>
        <v>81.289238063158081</v>
      </c>
      <c r="F20" s="1">
        <f t="shared" si="0"/>
        <v>5.4432083210336719</v>
      </c>
    </row>
    <row r="22" spans="1:7" x14ac:dyDescent="0.25">
      <c r="A22" s="1" t="s">
        <v>37</v>
      </c>
      <c r="B22" s="1">
        <f>B10/50000</f>
        <v>1007.34194</v>
      </c>
      <c r="C22" s="1">
        <f>B10/$B$12 %</f>
        <v>1.7881833867001393</v>
      </c>
      <c r="D22" s="1">
        <f>C10/50000</f>
        <v>1207.5074</v>
      </c>
      <c r="E22" s="1">
        <f>C10/$C$12 %</f>
        <v>10.174324381647702</v>
      </c>
      <c r="F22" s="1">
        <f t="shared" si="0"/>
        <v>0.83423251898911766</v>
      </c>
    </row>
    <row r="23" spans="1:7" x14ac:dyDescent="0.25">
      <c r="A23" s="1" t="s">
        <v>38</v>
      </c>
      <c r="B23" s="1">
        <f>B11/50000</f>
        <v>2812.2619399999999</v>
      </c>
      <c r="C23" s="1">
        <f>B11/$B$12 %</f>
        <v>4.9921877373209584</v>
      </c>
      <c r="D23" s="1">
        <f>C11/50000</f>
        <v>1013.12</v>
      </c>
      <c r="E23" s="1">
        <f>C11/$C$12 %</f>
        <v>8.5364375551942118</v>
      </c>
      <c r="F23" s="1">
        <f t="shared" si="0"/>
        <v>2.7758428813960832</v>
      </c>
    </row>
    <row r="25" spans="1:7" x14ac:dyDescent="0.25">
      <c r="A25" s="1" t="s">
        <v>7</v>
      </c>
      <c r="B25" s="1">
        <f>B12/50000</f>
        <v>56333.256840000002</v>
      </c>
      <c r="C25" s="1">
        <v>100</v>
      </c>
      <c r="D25" s="1">
        <f>C12/50000</f>
        <v>11868.182640000001</v>
      </c>
      <c r="E25" s="1">
        <v>100</v>
      </c>
      <c r="F25" s="1">
        <f t="shared" si="0"/>
        <v>4.7465781871385149</v>
      </c>
    </row>
    <row r="28" spans="1:7" x14ac:dyDescent="0.25">
      <c r="B28" s="1" t="s">
        <v>31</v>
      </c>
      <c r="D28" s="1" t="s">
        <v>46</v>
      </c>
      <c r="F28" s="1" t="s">
        <v>51</v>
      </c>
    </row>
    <row r="29" spans="1:7" x14ac:dyDescent="0.25">
      <c r="B29" s="1" t="s">
        <v>47</v>
      </c>
      <c r="C29" s="1" t="s">
        <v>50</v>
      </c>
      <c r="D29" s="1" t="s">
        <v>48</v>
      </c>
      <c r="E29" s="1" t="s">
        <v>50</v>
      </c>
      <c r="F29" s="1" t="s">
        <v>48</v>
      </c>
      <c r="G29" s="1" t="s">
        <v>50</v>
      </c>
    </row>
    <row r="30" spans="1:7" x14ac:dyDescent="0.25">
      <c r="A30" s="1" t="s">
        <v>36</v>
      </c>
      <c r="B30" s="1">
        <v>78.998840000000001</v>
      </c>
      <c r="C30" s="1">
        <f>B30/B30</f>
        <v>1</v>
      </c>
      <c r="D30" s="1">
        <v>78.879980000000003</v>
      </c>
      <c r="E30" s="1">
        <f>B30/D30</f>
        <v>1.0015068462238454</v>
      </c>
      <c r="F30" s="1">
        <f>D6/50000</f>
        <v>75.463560000000001</v>
      </c>
      <c r="G30" s="1">
        <f>B30/F30</f>
        <v>1.0468475115671723</v>
      </c>
    </row>
    <row r="31" spans="1:7" x14ac:dyDescent="0.25">
      <c r="A31" s="1" t="s">
        <v>33</v>
      </c>
      <c r="B31" s="1">
        <v>51788.076159999997</v>
      </c>
      <c r="C31" s="1">
        <f t="shared" ref="C31:C38" si="1">B31/B31</f>
        <v>1</v>
      </c>
      <c r="D31" s="1">
        <v>8919.17454</v>
      </c>
      <c r="E31" s="1">
        <f t="shared" ref="E31:E38" si="2">B31/D31</f>
        <v>5.806375458597091</v>
      </c>
      <c r="F31" s="1">
        <f>D5/50000</f>
        <v>760.24486000000002</v>
      </c>
      <c r="G31" s="1">
        <f>B31/F31</f>
        <v>68.120258202074524</v>
      </c>
    </row>
    <row r="32" spans="1:7" x14ac:dyDescent="0.25">
      <c r="A32" s="1" t="s">
        <v>34</v>
      </c>
      <c r="B32" s="1">
        <v>646.57795999999996</v>
      </c>
      <c r="C32" s="1">
        <f t="shared" si="1"/>
        <v>1</v>
      </c>
      <c r="D32" s="1">
        <v>649.50072</v>
      </c>
      <c r="E32" s="1">
        <f t="shared" si="2"/>
        <v>0.99549998959200536</v>
      </c>
      <c r="F32" s="1">
        <f t="shared" ref="F32:F36" si="3">D7/50000</f>
        <v>75.523480000000006</v>
      </c>
      <c r="G32" s="1">
        <f t="shared" ref="G32:G36" si="4">D32/F32</f>
        <v>8.5999840049743455</v>
      </c>
    </row>
    <row r="33" spans="1:7" x14ac:dyDescent="0.25">
      <c r="A33" s="1" t="s">
        <v>35</v>
      </c>
      <c r="B33" s="1">
        <v>52513.652959999999</v>
      </c>
      <c r="C33" s="1">
        <f t="shared" si="1"/>
        <v>1</v>
      </c>
      <c r="D33" s="1">
        <v>9647.5552399999997</v>
      </c>
      <c r="E33" s="1">
        <f t="shared" si="2"/>
        <v>5.4432083210336719</v>
      </c>
      <c r="F33" s="1">
        <f t="shared" si="3"/>
        <v>835.76833999999997</v>
      </c>
      <c r="G33" s="1">
        <f t="shared" si="4"/>
        <v>11.54333656620685</v>
      </c>
    </row>
    <row r="34" spans="1:7" x14ac:dyDescent="0.25">
      <c r="F34" s="1">
        <f t="shared" si="3"/>
        <v>0</v>
      </c>
    </row>
    <row r="35" spans="1:7" x14ac:dyDescent="0.25">
      <c r="A35" s="1" t="s">
        <v>37</v>
      </c>
      <c r="B35" s="1">
        <v>1007.34194</v>
      </c>
      <c r="C35" s="1">
        <f t="shared" si="1"/>
        <v>1</v>
      </c>
      <c r="D35" s="1">
        <v>1207.5074</v>
      </c>
      <c r="E35" s="1">
        <f t="shared" si="2"/>
        <v>0.83423251898911766</v>
      </c>
      <c r="F35" s="1">
        <f t="shared" si="3"/>
        <v>81.5792</v>
      </c>
      <c r="G35" s="1">
        <f t="shared" si="4"/>
        <v>14.801657775511405</v>
      </c>
    </row>
    <row r="36" spans="1:7" x14ac:dyDescent="0.25">
      <c r="A36" s="1" t="s">
        <v>38</v>
      </c>
      <c r="B36" s="1">
        <v>2812.2619399999999</v>
      </c>
      <c r="C36" s="1">
        <f t="shared" si="1"/>
        <v>1</v>
      </c>
      <c r="D36" s="1">
        <v>1013.12</v>
      </c>
      <c r="E36" s="1">
        <f t="shared" si="2"/>
        <v>2.7758428813960832</v>
      </c>
      <c r="F36" s="1">
        <f t="shared" si="3"/>
        <v>126.55704</v>
      </c>
      <c r="G36" s="1">
        <f t="shared" si="4"/>
        <v>8.0052441175931417</v>
      </c>
    </row>
    <row r="38" spans="1:7" x14ac:dyDescent="0.25">
      <c r="A38" s="1" t="s">
        <v>7</v>
      </c>
      <c r="B38" s="1">
        <v>56333.256840000002</v>
      </c>
      <c r="C38" s="1">
        <f t="shared" si="1"/>
        <v>1</v>
      </c>
      <c r="D38" s="1">
        <v>11868.182640000001</v>
      </c>
      <c r="E38" s="1">
        <f t="shared" si="2"/>
        <v>4.7465781871385149</v>
      </c>
      <c r="F38" s="1">
        <f>D12/50000</f>
        <v>1043.9045799999999</v>
      </c>
      <c r="G38" s="1">
        <f>B38/F38</f>
        <v>53.963990501890514</v>
      </c>
    </row>
    <row r="40" spans="1:7" x14ac:dyDescent="0.25">
      <c r="B40" s="1" t="s">
        <v>52</v>
      </c>
      <c r="C40" s="1" t="s">
        <v>31</v>
      </c>
      <c r="D40" s="1" t="s">
        <v>51</v>
      </c>
    </row>
    <row r="41" spans="1:7" x14ac:dyDescent="0.25">
      <c r="A41" s="4" t="s">
        <v>53</v>
      </c>
      <c r="B41" s="1">
        <v>63400</v>
      </c>
      <c r="C41" s="1">
        <v>4613</v>
      </c>
      <c r="D41" s="9">
        <v>35174</v>
      </c>
    </row>
    <row r="42" spans="1:7" x14ac:dyDescent="0.25">
      <c r="A42" s="4" t="s">
        <v>54</v>
      </c>
      <c r="B42" s="1">
        <v>126800</v>
      </c>
      <c r="C42" s="1">
        <v>3895</v>
      </c>
      <c r="D42" s="9">
        <v>23999</v>
      </c>
    </row>
    <row r="43" spans="1:7" x14ac:dyDescent="0.25">
      <c r="A43" s="4" t="s">
        <v>17</v>
      </c>
      <c r="B43" s="1">
        <v>15850</v>
      </c>
      <c r="C43" s="1">
        <v>301</v>
      </c>
      <c r="D43" s="9">
        <v>11710</v>
      </c>
    </row>
    <row r="44" spans="1:7" x14ac:dyDescent="0.25">
      <c r="A44" s="4" t="s">
        <v>55</v>
      </c>
      <c r="B44" s="1">
        <v>31700</v>
      </c>
      <c r="C44" s="1">
        <v>129</v>
      </c>
      <c r="D44" s="9">
        <v>2384</v>
      </c>
    </row>
    <row r="45" spans="1:7" x14ac:dyDescent="0.25">
      <c r="A45" s="4" t="s">
        <v>56</v>
      </c>
      <c r="B45" s="1">
        <v>15850</v>
      </c>
      <c r="C45" s="1">
        <v>1850</v>
      </c>
      <c r="D45" s="9">
        <v>567</v>
      </c>
    </row>
    <row r="46" spans="1:7" x14ac:dyDescent="0.25">
      <c r="A46" s="4" t="s">
        <v>57</v>
      </c>
      <c r="B46" s="1">
        <v>63400</v>
      </c>
      <c r="C46" s="1">
        <v>4527</v>
      </c>
      <c r="D46" s="9">
        <v>22115</v>
      </c>
    </row>
    <row r="47" spans="1:7" x14ac:dyDescent="0.25">
      <c r="A47" s="4" t="s">
        <v>58</v>
      </c>
      <c r="B47" s="1">
        <v>19000</v>
      </c>
      <c r="C47" s="1">
        <v>86</v>
      </c>
      <c r="D47" s="9">
        <v>13059</v>
      </c>
    </row>
    <row r="48" spans="1:7" x14ac:dyDescent="0.25">
      <c r="A48" s="4" t="s">
        <v>18</v>
      </c>
      <c r="B48" s="1">
        <v>135</v>
      </c>
      <c r="C48" s="1">
        <v>17</v>
      </c>
      <c r="D48" s="9">
        <v>45.5</v>
      </c>
    </row>
    <row r="49" spans="1:4" x14ac:dyDescent="0.25">
      <c r="A49" s="4" t="s">
        <v>19</v>
      </c>
      <c r="B49" s="1">
        <v>240</v>
      </c>
      <c r="C49" s="1">
        <v>4</v>
      </c>
      <c r="D49" s="9">
        <v>30</v>
      </c>
    </row>
    <row r="50" spans="1:4" x14ac:dyDescent="0.25">
      <c r="A50" s="4"/>
    </row>
    <row r="52" spans="1:4" ht="15.75" thickBot="1" x14ac:dyDescent="0.3">
      <c r="B52" s="1" t="s">
        <v>52</v>
      </c>
      <c r="C52" s="1" t="s">
        <v>32</v>
      </c>
      <c r="D52" s="1" t="s">
        <v>51</v>
      </c>
    </row>
    <row r="53" spans="1:4" x14ac:dyDescent="0.25">
      <c r="A53" s="5" t="s">
        <v>59</v>
      </c>
      <c r="B53" s="1">
        <f>B41</f>
        <v>63400</v>
      </c>
      <c r="C53" s="1">
        <f>C41/B41%</f>
        <v>7.2760252365930596</v>
      </c>
      <c r="D53" s="1">
        <f>D41/B53%</f>
        <v>55.479495268138798</v>
      </c>
    </row>
    <row r="54" spans="1:4" x14ac:dyDescent="0.25">
      <c r="A54" s="6" t="s">
        <v>60</v>
      </c>
      <c r="B54" s="1">
        <f>B46</f>
        <v>63400</v>
      </c>
      <c r="C54" s="1">
        <f>C46/B46%</f>
        <v>7.1403785488958986</v>
      </c>
      <c r="D54" s="1">
        <f>D46/B54%</f>
        <v>34.881703470031546</v>
      </c>
    </row>
    <row r="55" spans="1:4" ht="15.75" thickBot="1" x14ac:dyDescent="0.3">
      <c r="A55" s="7" t="s">
        <v>61</v>
      </c>
      <c r="B55" s="1">
        <f>B47</f>
        <v>19000</v>
      </c>
      <c r="C55" s="1">
        <f>C47/B47%</f>
        <v>0.45263157894736844</v>
      </c>
      <c r="D55" s="1">
        <f>D47/B55%</f>
        <v>68.731578947368419</v>
      </c>
    </row>
    <row r="56" spans="1:4" ht="15.75" thickBot="1" x14ac:dyDescent="0.3">
      <c r="A56" s="8" t="s">
        <v>62</v>
      </c>
      <c r="B56" s="1">
        <f>B42</f>
        <v>126800</v>
      </c>
      <c r="C56" s="1">
        <f>C42/B42%</f>
        <v>3.0717665615141958</v>
      </c>
      <c r="D56" s="1">
        <f>D42/B42%</f>
        <v>18.926656151419557</v>
      </c>
    </row>
    <row r="57" spans="1:4" ht="15.75" thickBot="1" x14ac:dyDescent="0.3">
      <c r="A57" s="8" t="s">
        <v>18</v>
      </c>
      <c r="B57" s="1">
        <f>B48</f>
        <v>135</v>
      </c>
      <c r="C57" s="1">
        <f>C48/B48%</f>
        <v>12.592592592592592</v>
      </c>
      <c r="D57" s="1">
        <f>D48/B57%</f>
        <v>33.703703703703702</v>
      </c>
    </row>
    <row r="58" spans="1:4" ht="15.75" thickBot="1" x14ac:dyDescent="0.3">
      <c r="A58" s="7" t="s">
        <v>19</v>
      </c>
      <c r="B58" s="1">
        <f>B49</f>
        <v>240</v>
      </c>
      <c r="C58" s="1">
        <f>C49/B49%</f>
        <v>1.6666666666666667</v>
      </c>
      <c r="D58" s="1">
        <f>D49/B49%</f>
        <v>12.5</v>
      </c>
    </row>
  </sheetData>
  <phoneticPr fontId="1" type="noConversion"/>
  <pageMargins left="0.7" right="0.7" top="0.75" bottom="0.75" header="0.3" footer="0.3"/>
  <pageSetup paperSize="9" orientation="portrait" r:id="rId1"/>
  <ignoredErrors>
    <ignoredError sqref="F35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工作表1</vt:lpstr>
      <vt:lpstr>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Apollo</dc:creator>
  <cp:lastModifiedBy>彥宇 林</cp:lastModifiedBy>
  <dcterms:created xsi:type="dcterms:W3CDTF">2015-06-05T18:19:34Z</dcterms:created>
  <dcterms:modified xsi:type="dcterms:W3CDTF">2026-01-05T06:00:50Z</dcterms:modified>
</cp:coreProperties>
</file>