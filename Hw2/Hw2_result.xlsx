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pollo\Desktop\NYCU\semester5\mpd\"/>
    </mc:Choice>
  </mc:AlternateContent>
  <xr:revisionPtr revIDLastSave="0" documentId="13_ncr:1_{A2CD8A0B-F5DD-41F0-9003-91FD8EA42D7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工作表1" sheetId="1" r:id="rId1"/>
    <sheet name="software" sheetId="2" r:id="rId2"/>
    <sheet name="hardwar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5" l="1"/>
  <c r="F26" i="5"/>
  <c r="F27" i="5"/>
  <c r="F28" i="5"/>
  <c r="D27" i="5"/>
  <c r="B29" i="5"/>
  <c r="D28" i="5"/>
  <c r="E28" i="5"/>
  <c r="G28" i="5"/>
  <c r="C28" i="5"/>
  <c r="C29" i="5"/>
  <c r="D29" i="5"/>
  <c r="C30" i="5"/>
  <c r="D30" i="5"/>
  <c r="C31" i="5"/>
  <c r="D31" i="5"/>
  <c r="C32" i="5"/>
  <c r="D32" i="5"/>
  <c r="F29" i="5"/>
  <c r="F30" i="5"/>
  <c r="F31" i="5"/>
  <c r="F32" i="5"/>
  <c r="H11" i="5"/>
  <c r="G30" i="5"/>
  <c r="G31" i="5"/>
  <c r="G32" i="5"/>
  <c r="G33" i="5"/>
  <c r="G29" i="5"/>
  <c r="G27" i="5"/>
  <c r="G26" i="5"/>
  <c r="G25" i="5"/>
  <c r="H21" i="2"/>
  <c r="H22" i="2"/>
  <c r="H20" i="2"/>
  <c r="G20" i="2"/>
  <c r="G21" i="2"/>
  <c r="G22" i="2"/>
  <c r="B25" i="5"/>
  <c r="C25" i="5"/>
  <c r="D25" i="5"/>
  <c r="B26" i="5"/>
  <c r="C26" i="5"/>
  <c r="D26" i="5"/>
  <c r="B27" i="5"/>
  <c r="C27" i="5"/>
  <c r="C22" i="2"/>
  <c r="D22" i="2"/>
  <c r="E22" i="2"/>
  <c r="F22" i="2"/>
  <c r="B22" i="2"/>
  <c r="F21" i="2"/>
  <c r="F20" i="2"/>
  <c r="C21" i="2"/>
  <c r="D21" i="2"/>
  <c r="E21" i="2"/>
  <c r="B21" i="2"/>
  <c r="C20" i="2"/>
  <c r="D20" i="2"/>
  <c r="E20" i="2"/>
  <c r="B20" i="2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L10" i="1"/>
  <c r="L9" i="1"/>
  <c r="L8" i="1"/>
  <c r="L7" i="1"/>
  <c r="M3" i="1"/>
  <c r="M4" i="1" s="1"/>
  <c r="N3" i="1"/>
  <c r="N4" i="1" s="1"/>
  <c r="O3" i="1"/>
  <c r="O4" i="1" s="1"/>
  <c r="P3" i="1"/>
  <c r="P4" i="1" s="1"/>
  <c r="Q3" i="1"/>
  <c r="Q4" i="1" s="1"/>
  <c r="L3" i="1"/>
  <c r="L4" i="1" s="1"/>
  <c r="M2" i="1"/>
  <c r="N2" i="1"/>
  <c r="O2" i="1"/>
  <c r="P2" i="1"/>
  <c r="Q2" i="1"/>
  <c r="L2" i="1"/>
</calcChain>
</file>

<file path=xl/sharedStrings.xml><?xml version="1.0" encoding="utf-8"?>
<sst xmlns="http://schemas.openxmlformats.org/spreadsheetml/2006/main" count="145" uniqueCount="65">
  <si>
    <t>cnt_cond_bht_hit</t>
    <phoneticPr fontId="1" type="noConversion"/>
  </si>
  <si>
    <t>cnt_cond_bwd_bht_hit</t>
    <phoneticPr fontId="1" type="noConversion"/>
  </si>
  <si>
    <t>cnt_cond_bwd_misp</t>
  </si>
  <si>
    <t>cnt_cond_bwd_ok</t>
  </si>
  <si>
    <t>cnt_cond_bwd_total</t>
  </si>
  <si>
    <t>cnt_cond_fwd_bht_hit</t>
  </si>
  <si>
    <t>cnt_cond_fwd_misp</t>
  </si>
  <si>
    <t>cnt_cond_fwd_ok</t>
  </si>
  <si>
    <t>cnt_cond_fwd_total</t>
  </si>
  <si>
    <t>cnt_cond_misp</t>
  </si>
  <si>
    <t>cnt_cond_pred_ok</t>
  </si>
  <si>
    <t>cnt_cond_total</t>
  </si>
  <si>
    <t xml:space="preserve">64 entry </t>
    <phoneticPr fontId="1" type="noConversion"/>
  </si>
  <si>
    <t>Iterations/Sec</t>
    <phoneticPr fontId="1" type="noConversion"/>
  </si>
  <si>
    <t>Total time (secs)</t>
    <phoneticPr fontId="1" type="noConversion"/>
  </si>
  <si>
    <t>128 entry</t>
    <phoneticPr fontId="1" type="noConversion"/>
  </si>
  <si>
    <t>256 entry</t>
    <phoneticPr fontId="1" type="noConversion"/>
  </si>
  <si>
    <t>512 entry</t>
    <phoneticPr fontId="1" type="noConversion"/>
  </si>
  <si>
    <t xml:space="preserve">32 entry </t>
    <phoneticPr fontId="1" type="noConversion"/>
  </si>
  <si>
    <t xml:space="preserve">16 entry </t>
    <phoneticPr fontId="1" type="noConversion"/>
  </si>
  <si>
    <t>cnt_global_total</t>
    <phoneticPr fontId="1" type="noConversion"/>
  </si>
  <si>
    <t>BPU off</t>
    <phoneticPr fontId="1" type="noConversion"/>
  </si>
  <si>
    <t>BHT hit rate</t>
    <phoneticPr fontId="1" type="noConversion"/>
  </si>
  <si>
    <t>PredACC</t>
    <phoneticPr fontId="1" type="noConversion"/>
  </si>
  <si>
    <t>Fwd HR</t>
    <phoneticPr fontId="1" type="noConversion"/>
  </si>
  <si>
    <t>Bwd HR</t>
    <phoneticPr fontId="1" type="noConversion"/>
  </si>
  <si>
    <t>Fwd Acc</t>
    <phoneticPr fontId="1" type="noConversion"/>
  </si>
  <si>
    <t>Bwd Acc</t>
    <phoneticPr fontId="1" type="noConversion"/>
  </si>
  <si>
    <t>BHTsize</t>
    <phoneticPr fontId="1" type="noConversion"/>
  </si>
  <si>
    <t>Mis Pred Rate</t>
    <phoneticPr fontId="1" type="noConversion"/>
  </si>
  <si>
    <t>BPU on</t>
    <phoneticPr fontId="1" type="noConversion"/>
  </si>
  <si>
    <t>cnt_uncond_total</t>
    <phoneticPr fontId="1" type="noConversion"/>
  </si>
  <si>
    <t>bimodal</t>
  </si>
  <si>
    <t>bimodal</t>
    <phoneticPr fontId="1" type="noConversion"/>
  </si>
  <si>
    <t>TAGE</t>
    <phoneticPr fontId="1" type="noConversion"/>
  </si>
  <si>
    <t>TAGE using WT init</t>
    <phoneticPr fontId="1" type="noConversion"/>
  </si>
  <si>
    <t>4-16-64</t>
    <phoneticPr fontId="1" type="noConversion"/>
  </si>
  <si>
    <t>4-8-32</t>
    <phoneticPr fontId="1" type="noConversion"/>
  </si>
  <si>
    <t>TAGE using WT init + short his</t>
    <phoneticPr fontId="1" type="noConversion"/>
  </si>
  <si>
    <t>TAGE using WT init + short his + ST</t>
    <phoneticPr fontId="1" type="noConversion"/>
  </si>
  <si>
    <t>bwd_mispredict_rate</t>
    <phoneticPr fontId="1" type="noConversion"/>
  </si>
  <si>
    <t>fwd_mispredict_rate</t>
    <phoneticPr fontId="1" type="noConversion"/>
  </si>
  <si>
    <t>total_mispredict_rate</t>
    <phoneticPr fontId="1" type="noConversion"/>
  </si>
  <si>
    <t>TAGE using WT init + short his + ST + LP</t>
    <phoneticPr fontId="1" type="noConversion"/>
  </si>
  <si>
    <t>T4</t>
    <phoneticPr fontId="1" type="noConversion"/>
  </si>
  <si>
    <t>WT init</t>
    <phoneticPr fontId="1" type="noConversion"/>
  </si>
  <si>
    <t>WT init + short his</t>
    <phoneticPr fontId="1" type="noConversion"/>
  </si>
  <si>
    <t>WT init + short his + ST</t>
    <phoneticPr fontId="1" type="noConversion"/>
  </si>
  <si>
    <t>WT init + short his + ST + T4 + direction biased</t>
    <phoneticPr fontId="1" type="noConversion"/>
  </si>
  <si>
    <t>T0_match</t>
    <phoneticPr fontId="1" type="noConversion"/>
  </si>
  <si>
    <t>T1_match</t>
    <phoneticPr fontId="1" type="noConversion"/>
  </si>
  <si>
    <t>T2_match</t>
    <phoneticPr fontId="1" type="noConversion"/>
  </si>
  <si>
    <t>T3_match</t>
    <phoneticPr fontId="1" type="noConversion"/>
  </si>
  <si>
    <t>T4_match</t>
    <phoneticPr fontId="1" type="noConversion"/>
  </si>
  <si>
    <t>T0_match_rate</t>
    <phoneticPr fontId="1" type="noConversion"/>
  </si>
  <si>
    <t>null</t>
    <phoneticPr fontId="1" type="noConversion"/>
  </si>
  <si>
    <t>total_inc/dec_rate</t>
    <phoneticPr fontId="1" type="noConversion"/>
  </si>
  <si>
    <t>TAGE with WT init</t>
    <phoneticPr fontId="1" type="noConversion"/>
  </si>
  <si>
    <t>TAGE with WT init + short his + ST</t>
    <phoneticPr fontId="1" type="noConversion"/>
  </si>
  <si>
    <t>WT init + short his + SC</t>
    <phoneticPr fontId="1" type="noConversion"/>
  </si>
  <si>
    <t>bwd_misp (%)</t>
    <phoneticPr fontId="1" type="noConversion"/>
  </si>
  <si>
    <t>fwd_misp (%)</t>
    <phoneticPr fontId="1" type="noConversion"/>
  </si>
  <si>
    <t>total_misp (%)</t>
    <phoneticPr fontId="1" type="noConversion"/>
  </si>
  <si>
    <t>total_inc/dec (%)</t>
    <phoneticPr fontId="1" type="noConversion"/>
  </si>
  <si>
    <t>Adding T4 + direction biased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</si>
</sst>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8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Border="1"/>
    <xf numFmtId="0" fontId="0" fillId="0" borderId="0" xfId="0" applyBorder="1"/>
    <xf numFmtId="0" fontId="2" fillId="2" borderId="0" xfId="0" applyFont="1" applyFill="1" applyBorder="1"/>
    <xf numFmtId="0" fontId="0" fillId="2" borderId="0" xfId="0" applyFill="1" applyBorder="1"/>
    <xf numFmtId="0" fontId="2" fillId="3" borderId="0" xfId="0" applyFont="1" applyFill="1" applyBorder="1"/>
    <xf numFmtId="0" fontId="0" fillId="3" borderId="0" xfId="0" applyFill="1" applyBorder="1"/>
    <xf numFmtId="0" fontId="2" fillId="4" borderId="0" xfId="0" applyFont="1" applyFill="1" applyBorder="1"/>
    <xf numFmtId="0" fontId="0" fillId="4" borderId="0" xfId="0" applyFill="1" applyBorder="1"/>
    <xf numFmtId="0" fontId="2" fillId="0" borderId="2" xfId="0" applyFont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4" borderId="3" xfId="0" applyFont="1" applyFill="1" applyBorder="1"/>
    <xf numFmtId="0" fontId="2" fillId="0" borderId="3" xfId="0" applyFont="1" applyBorder="1"/>
    <xf numFmtId="0" fontId="2" fillId="0" borderId="1" xfId="0" applyFont="1" applyBorder="1"/>
    <xf numFmtId="0" fontId="3" fillId="0" borderId="1" xfId="0" applyFont="1" applyBorder="1"/>
    <xf numFmtId="0" fontId="3" fillId="2" borderId="3" xfId="0" applyFont="1" applyFill="1" applyBorder="1"/>
    <xf numFmtId="0" fontId="3" fillId="3" borderId="3" xfId="0" applyFont="1" applyFill="1" applyBorder="1"/>
    <xf numFmtId="0" fontId="3" fillId="4" borderId="3" xfId="0" applyFont="1" applyFill="1" applyBorder="1"/>
    <xf numFmtId="0" fontId="3" fillId="0" borderId="3" xfId="0" applyFont="1" applyBorder="1"/>
    <xf numFmtId="0" fontId="3" fillId="0" borderId="3" xfId="0" applyFont="1" applyFill="1" applyBorder="1"/>
    <xf numFmtId="0" fontId="4" fillId="0" borderId="3" xfId="0" applyFont="1" applyBorder="1"/>
    <xf numFmtId="0" fontId="3" fillId="2" borderId="2" xfId="0" applyFont="1" applyFill="1" applyBorder="1"/>
    <xf numFmtId="0" fontId="2" fillId="0" borderId="5" xfId="0" applyFont="1" applyBorder="1"/>
    <xf numFmtId="0" fontId="2" fillId="2" borderId="5" xfId="0" applyFont="1" applyFill="1" applyBorder="1"/>
    <xf numFmtId="0" fontId="0" fillId="2" borderId="5" xfId="0" applyFill="1" applyBorder="1"/>
    <xf numFmtId="0" fontId="3" fillId="2" borderId="6" xfId="0" applyFont="1" applyFill="1" applyBorder="1"/>
    <xf numFmtId="0" fontId="2" fillId="0" borderId="7" xfId="0" applyFont="1" applyBorder="1"/>
    <xf numFmtId="0" fontId="2" fillId="2" borderId="7" xfId="0" applyFont="1" applyFill="1" applyBorder="1"/>
    <xf numFmtId="0" fontId="0" fillId="2" borderId="7" xfId="0" applyFill="1" applyBorder="1"/>
    <xf numFmtId="0" fontId="3" fillId="3" borderId="2" xfId="0" applyFont="1" applyFill="1" applyBorder="1"/>
    <xf numFmtId="0" fontId="2" fillId="3" borderId="5" xfId="0" applyFont="1" applyFill="1" applyBorder="1"/>
    <xf numFmtId="0" fontId="0" fillId="3" borderId="5" xfId="0" applyFill="1" applyBorder="1"/>
    <xf numFmtId="0" fontId="3" fillId="3" borderId="6" xfId="0" applyFont="1" applyFill="1" applyBorder="1"/>
    <xf numFmtId="0" fontId="2" fillId="3" borderId="7" xfId="0" applyFont="1" applyFill="1" applyBorder="1"/>
    <xf numFmtId="0" fontId="0" fillId="3" borderId="7" xfId="0" applyFill="1" applyBorder="1"/>
    <xf numFmtId="0" fontId="3" fillId="4" borderId="2" xfId="0" applyFont="1" applyFill="1" applyBorder="1"/>
    <xf numFmtId="0" fontId="2" fillId="4" borderId="5" xfId="0" applyFont="1" applyFill="1" applyBorder="1"/>
    <xf numFmtId="0" fontId="0" fillId="0" borderId="5" xfId="0" applyBorder="1"/>
    <xf numFmtId="0" fontId="3" fillId="4" borderId="6" xfId="0" applyFont="1" applyFill="1" applyBorder="1"/>
    <xf numFmtId="0" fontId="2" fillId="4" borderId="7" xfId="0" applyFont="1" applyFill="1" applyBorder="1"/>
    <xf numFmtId="0" fontId="0" fillId="4" borderId="7" xfId="0" applyFill="1" applyBorder="1"/>
    <xf numFmtId="0" fontId="2" fillId="2" borderId="2" xfId="0" applyFont="1" applyFill="1" applyBorder="1"/>
    <xf numFmtId="0" fontId="2" fillId="2" borderId="6" xfId="0" applyFont="1" applyFill="1" applyBorder="1"/>
    <xf numFmtId="0" fontId="2" fillId="3" borderId="2" xfId="0" applyFont="1" applyFill="1" applyBorder="1"/>
    <xf numFmtId="0" fontId="2" fillId="3" borderId="6" xfId="0" applyFont="1" applyFill="1" applyBorder="1"/>
    <xf numFmtId="0" fontId="2" fillId="4" borderId="2" xfId="0" applyFont="1" applyFill="1" applyBorder="1"/>
    <xf numFmtId="0" fontId="2" fillId="4" borderId="6" xfId="0" applyFont="1" applyFill="1" applyBorder="1"/>
    <xf numFmtId="0" fontId="2" fillId="0" borderId="6" xfId="0" applyFont="1" applyBorder="1"/>
    <xf numFmtId="0" fontId="0" fillId="0" borderId="7" xfId="0" applyBorder="1"/>
    <xf numFmtId="0" fontId="3" fillId="0" borderId="4" xfId="0" applyFont="1" applyBorder="1"/>
    <xf numFmtId="0" fontId="4" fillId="0" borderId="4" xfId="0" applyFont="1" applyBorder="1"/>
    <xf numFmtId="0" fontId="3" fillId="0" borderId="2" xfId="0" applyFont="1" applyBorder="1"/>
    <xf numFmtId="0" fontId="3" fillId="0" borderId="6" xfId="0" applyFont="1" applyBorder="1"/>
    <xf numFmtId="0" fontId="4" fillId="5" borderId="3" xfId="0" applyFont="1" applyFill="1" applyBorder="1"/>
    <xf numFmtId="0" fontId="2" fillId="5" borderId="3" xfId="0" applyFont="1" applyFill="1" applyBorder="1"/>
    <xf numFmtId="0" fontId="2" fillId="5" borderId="0" xfId="0" applyFont="1" applyFill="1" applyBorder="1"/>
    <xf numFmtId="0" fontId="0" fillId="5" borderId="0" xfId="0" applyFill="1" applyBorder="1"/>
    <xf numFmtId="0" fontId="3" fillId="0" borderId="2" xfId="0" applyFont="1" applyFill="1" applyBorder="1"/>
    <xf numFmtId="0" fontId="3" fillId="0" borderId="6" xfId="0" applyFont="1" applyFill="1" applyBorder="1"/>
    <xf numFmtId="0" fontId="5" fillId="0" borderId="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workbookViewId="0">
      <selection activeCell="E3" sqref="E3"/>
    </sheetView>
  </sheetViews>
  <sheetFormatPr defaultRowHeight="13.8" x14ac:dyDescent="0.25"/>
  <cols>
    <col min="1" max="1" width="21.625" style="1" bestFit="1" customWidth="1"/>
    <col min="2" max="2" width="12" style="1" bestFit="1" customWidth="1"/>
    <col min="3" max="8" width="13.25" style="1" bestFit="1" customWidth="1"/>
    <col min="9" max="10" width="9" style="1"/>
    <col min="11" max="11" width="23.75" style="1" bestFit="1" customWidth="1"/>
    <col min="12" max="12" width="9.5" style="1" bestFit="1" customWidth="1"/>
    <col min="13" max="13" width="9" style="1"/>
    <col min="14" max="14" width="13.25" style="1" bestFit="1" customWidth="1"/>
    <col min="15" max="18" width="10.375" style="1" bestFit="1" customWidth="1"/>
    <col min="19" max="16384" width="9" style="1"/>
  </cols>
  <sheetData>
    <row r="1" spans="1:17" x14ac:dyDescent="0.25">
      <c r="B1" s="1" t="s">
        <v>21</v>
      </c>
      <c r="C1" s="1" t="s">
        <v>19</v>
      </c>
      <c r="D1" s="1" t="s">
        <v>18</v>
      </c>
      <c r="E1" s="1" t="s">
        <v>12</v>
      </c>
      <c r="F1" s="1" t="s">
        <v>15</v>
      </c>
      <c r="G1" s="1" t="s">
        <v>16</v>
      </c>
      <c r="H1" s="1" t="s">
        <v>17</v>
      </c>
      <c r="K1" s="1" t="s">
        <v>28</v>
      </c>
      <c r="L1" s="1" t="s">
        <v>19</v>
      </c>
      <c r="M1" s="1" t="s">
        <v>18</v>
      </c>
      <c r="N1" s="1" t="s">
        <v>12</v>
      </c>
      <c r="O1" s="1" t="s">
        <v>15</v>
      </c>
      <c r="P1" s="1" t="s">
        <v>16</v>
      </c>
      <c r="Q1" s="1" t="s">
        <v>17</v>
      </c>
    </row>
    <row r="2" spans="1:17" x14ac:dyDescent="0.25">
      <c r="A2" s="1" t="s">
        <v>0</v>
      </c>
      <c r="B2" s="1">
        <v>52283613</v>
      </c>
      <c r="C2" s="1">
        <v>133738166</v>
      </c>
      <c r="D2" s="1">
        <v>146536707</v>
      </c>
      <c r="E2" s="1">
        <v>154773231</v>
      </c>
      <c r="F2" s="1">
        <v>158229481</v>
      </c>
      <c r="G2" s="1">
        <v>164831945</v>
      </c>
      <c r="H2" s="1">
        <v>165986097</v>
      </c>
      <c r="K2" s="1" t="s">
        <v>22</v>
      </c>
      <c r="L2" s="1">
        <f t="shared" ref="L2:Q2" si="0">C2/C13 %</f>
        <v>80.476907131480644</v>
      </c>
      <c r="M2" s="1">
        <f t="shared" si="0"/>
        <v>88.178404144547926</v>
      </c>
      <c r="N2" s="1">
        <f t="shared" si="0"/>
        <v>93.134513921188983</v>
      </c>
      <c r="O2" s="1">
        <f t="shared" si="0"/>
        <v>95.214237400387049</v>
      </c>
      <c r="P2" s="1">
        <f t="shared" si="0"/>
        <v>99.187261956840317</v>
      </c>
      <c r="Q2" s="1">
        <f t="shared" si="0"/>
        <v>99.881755970622152</v>
      </c>
    </row>
    <row r="3" spans="1:17" x14ac:dyDescent="0.25">
      <c r="A3" s="1" t="s">
        <v>1</v>
      </c>
      <c r="B3" s="1">
        <v>46825869</v>
      </c>
      <c r="C3" s="1">
        <v>73493837</v>
      </c>
      <c r="D3" s="1">
        <v>81447771</v>
      </c>
      <c r="E3" s="1">
        <v>86283950</v>
      </c>
      <c r="F3" s="1">
        <v>88486201</v>
      </c>
      <c r="G3" s="1">
        <v>93806590</v>
      </c>
      <c r="H3" s="1">
        <v>94279757</v>
      </c>
      <c r="K3" s="1" t="s">
        <v>23</v>
      </c>
      <c r="L3" s="1">
        <f t="shared" ref="L3:Q3" si="1">C12/C13 %</f>
        <v>98.857411426649961</v>
      </c>
      <c r="M3" s="1">
        <f t="shared" si="1"/>
        <v>98.785238463826914</v>
      </c>
      <c r="N3" s="1">
        <f t="shared" si="1"/>
        <v>98.722297205063128</v>
      </c>
      <c r="O3" s="1">
        <f t="shared" si="1"/>
        <v>98.706300061465527</v>
      </c>
      <c r="P3" s="1">
        <f t="shared" si="1"/>
        <v>98.713227296623771</v>
      </c>
      <c r="Q3" s="1">
        <f t="shared" si="1"/>
        <v>98.713190775847664</v>
      </c>
    </row>
    <row r="4" spans="1:17" x14ac:dyDescent="0.25">
      <c r="A4" s="1" t="s">
        <v>2</v>
      </c>
      <c r="B4" s="1">
        <v>377520</v>
      </c>
      <c r="C4" s="1">
        <v>976498</v>
      </c>
      <c r="D4" s="1">
        <v>994805</v>
      </c>
      <c r="E4" s="1">
        <v>1038025</v>
      </c>
      <c r="F4" s="1">
        <v>1046114</v>
      </c>
      <c r="G4" s="1">
        <v>1046916</v>
      </c>
      <c r="H4" s="1">
        <v>1046916</v>
      </c>
      <c r="K4" s="1" t="s">
        <v>29</v>
      </c>
      <c r="L4" s="1">
        <f>100-L3</f>
        <v>1.1425885733500394</v>
      </c>
      <c r="M4" s="1">
        <f t="shared" ref="M4:Q4" si="2">100-M3</f>
        <v>1.2147615361730857</v>
      </c>
      <c r="N4" s="1">
        <f t="shared" si="2"/>
        <v>1.2777027949368716</v>
      </c>
      <c r="O4" s="1">
        <f t="shared" si="2"/>
        <v>1.2936999385344734</v>
      </c>
      <c r="P4" s="1">
        <f t="shared" si="2"/>
        <v>1.2867727033762293</v>
      </c>
      <c r="Q4" s="1">
        <f t="shared" si="2"/>
        <v>1.2868092241523357</v>
      </c>
    </row>
    <row r="5" spans="1:17" x14ac:dyDescent="0.25">
      <c r="A5" s="1" t="s">
        <v>3</v>
      </c>
      <c r="B5" s="1">
        <v>56322438</v>
      </c>
      <c r="C5" s="1">
        <v>97891640</v>
      </c>
      <c r="D5" s="1">
        <v>95322825</v>
      </c>
      <c r="E5" s="1">
        <v>94311484</v>
      </c>
      <c r="F5" s="1">
        <v>93882197</v>
      </c>
      <c r="G5" s="1">
        <v>93749659</v>
      </c>
      <c r="H5" s="1">
        <v>93404322</v>
      </c>
    </row>
    <row r="6" spans="1:17" x14ac:dyDescent="0.25">
      <c r="A6" s="1" t="s">
        <v>4</v>
      </c>
      <c r="B6" s="1">
        <v>56699958</v>
      </c>
      <c r="C6" s="1">
        <v>98868138</v>
      </c>
      <c r="D6" s="1">
        <v>96317630</v>
      </c>
      <c r="E6" s="1">
        <v>95349509</v>
      </c>
      <c r="F6" s="1">
        <v>94928311</v>
      </c>
      <c r="G6" s="1">
        <v>94796575</v>
      </c>
      <c r="H6" s="1">
        <v>94451238</v>
      </c>
      <c r="K6" s="1" t="s">
        <v>28</v>
      </c>
      <c r="L6" s="1" t="s">
        <v>19</v>
      </c>
      <c r="M6" s="1" t="s">
        <v>18</v>
      </c>
      <c r="N6" s="1" t="s">
        <v>12</v>
      </c>
      <c r="O6" s="1" t="s">
        <v>15</v>
      </c>
      <c r="P6" s="1" t="s">
        <v>16</v>
      </c>
      <c r="Q6" s="1" t="s">
        <v>17</v>
      </c>
    </row>
    <row r="7" spans="1:17" x14ac:dyDescent="0.25">
      <c r="A7" s="1" t="s">
        <v>5</v>
      </c>
      <c r="B7" s="1">
        <v>5457744</v>
      </c>
      <c r="C7" s="1">
        <v>60244329</v>
      </c>
      <c r="D7" s="1">
        <v>65088936</v>
      </c>
      <c r="E7" s="1">
        <v>68489281</v>
      </c>
      <c r="F7" s="1">
        <v>69743280</v>
      </c>
      <c r="G7" s="1">
        <v>71025355</v>
      </c>
      <c r="H7" s="1">
        <v>71706340</v>
      </c>
      <c r="K7" s="1" t="s">
        <v>24</v>
      </c>
      <c r="L7" s="1">
        <f t="shared" ref="L7:Q7" si="3">C7/C10 %</f>
        <v>89.49760333311238</v>
      </c>
      <c r="M7" s="1">
        <f t="shared" si="3"/>
        <v>93.164599547200339</v>
      </c>
      <c r="N7" s="1">
        <f t="shared" si="3"/>
        <v>96.691264727113733</v>
      </c>
      <c r="O7" s="1">
        <f t="shared" si="3"/>
        <v>97.879433870872077</v>
      </c>
      <c r="P7" s="1">
        <f t="shared" si="3"/>
        <v>99.494797292113262</v>
      </c>
      <c r="Q7" s="1">
        <f t="shared" si="3"/>
        <v>99.965119858315802</v>
      </c>
    </row>
    <row r="8" spans="1:17" x14ac:dyDescent="0.25">
      <c r="A8" s="1" t="s">
        <v>6</v>
      </c>
      <c r="B8" s="1">
        <v>290596</v>
      </c>
      <c r="C8" s="1">
        <v>922279</v>
      </c>
      <c r="D8" s="1">
        <v>1023911</v>
      </c>
      <c r="E8" s="1">
        <v>1085293</v>
      </c>
      <c r="F8" s="1">
        <v>1103790</v>
      </c>
      <c r="G8" s="1">
        <v>1091476</v>
      </c>
      <c r="H8" s="1">
        <v>1091537</v>
      </c>
      <c r="K8" s="1" t="s">
        <v>25</v>
      </c>
      <c r="L8" s="1">
        <f t="shared" ref="L8:Q8" si="4">C3/C6%</f>
        <v>74.335208983100301</v>
      </c>
      <c r="M8" s="1">
        <f t="shared" si="4"/>
        <v>84.56164359525873</v>
      </c>
      <c r="N8" s="1">
        <f t="shared" si="4"/>
        <v>90.492285597401448</v>
      </c>
      <c r="O8" s="1">
        <f t="shared" si="4"/>
        <v>93.213710502022948</v>
      </c>
      <c r="P8" s="1">
        <f t="shared" si="4"/>
        <v>98.95567429519474</v>
      </c>
      <c r="Q8" s="1">
        <f t="shared" si="4"/>
        <v>99.818444941928661</v>
      </c>
    </row>
    <row r="9" spans="1:17" x14ac:dyDescent="0.25">
      <c r="A9" s="1" t="s">
        <v>7</v>
      </c>
      <c r="B9" s="1">
        <v>7919213</v>
      </c>
      <c r="C9" s="1">
        <v>66391623</v>
      </c>
      <c r="D9" s="1">
        <v>68840540</v>
      </c>
      <c r="E9" s="1">
        <v>69747663</v>
      </c>
      <c r="F9" s="1">
        <v>70150484</v>
      </c>
      <c r="G9" s="1">
        <v>70294523</v>
      </c>
      <c r="H9" s="1">
        <v>70639823</v>
      </c>
      <c r="K9" s="1" t="s">
        <v>26</v>
      </c>
      <c r="L9" s="1">
        <f t="shared" ref="L9:Q9" si="5">C9/C10%</f>
        <v>98.629883318901932</v>
      </c>
      <c r="M9" s="1">
        <f t="shared" si="5"/>
        <v>98.534432053291312</v>
      </c>
      <c r="N9" s="1">
        <f t="shared" si="5"/>
        <v>98.467813485011121</v>
      </c>
      <c r="O9" s="1">
        <f t="shared" si="5"/>
        <v>98.450913976051453</v>
      </c>
      <c r="P9" s="1">
        <f t="shared" si="5"/>
        <v>98.471022307889811</v>
      </c>
      <c r="Q9" s="1">
        <f t="shared" si="5"/>
        <v>98.478298752456396</v>
      </c>
    </row>
    <row r="10" spans="1:17" x14ac:dyDescent="0.25">
      <c r="A10" s="1" t="s">
        <v>8</v>
      </c>
      <c r="B10" s="1">
        <v>8209809</v>
      </c>
      <c r="C10" s="1">
        <v>67313902</v>
      </c>
      <c r="D10" s="1">
        <v>69864451</v>
      </c>
      <c r="E10" s="1">
        <v>70832956</v>
      </c>
      <c r="F10" s="1">
        <v>71254274</v>
      </c>
      <c r="G10" s="1">
        <v>71385999</v>
      </c>
      <c r="H10" s="1">
        <v>71731360</v>
      </c>
      <c r="K10" s="1" t="s">
        <v>27</v>
      </c>
      <c r="L10" s="1">
        <f t="shared" ref="L10:Q10" si="6">C5/C6%</f>
        <v>99.012322857744124</v>
      </c>
      <c r="M10" s="1">
        <f t="shared" si="6"/>
        <v>98.96716208652559</v>
      </c>
      <c r="N10" s="1">
        <f t="shared" si="6"/>
        <v>98.911347304368405</v>
      </c>
      <c r="O10" s="1">
        <f t="shared" si="6"/>
        <v>98.897995772831138</v>
      </c>
      <c r="P10" s="1">
        <f t="shared" si="6"/>
        <v>98.895618327982845</v>
      </c>
      <c r="Q10" s="1">
        <f t="shared" si="6"/>
        <v>98.891580436457588</v>
      </c>
    </row>
    <row r="11" spans="1:17" x14ac:dyDescent="0.25">
      <c r="A11" s="1" t="s">
        <v>9</v>
      </c>
      <c r="B11" s="1">
        <v>668116</v>
      </c>
      <c r="C11" s="1">
        <v>1898777</v>
      </c>
      <c r="D11" s="1">
        <v>2018716</v>
      </c>
      <c r="E11" s="1">
        <v>2123318</v>
      </c>
      <c r="F11" s="1">
        <v>2149904</v>
      </c>
      <c r="G11" s="1">
        <v>2138392</v>
      </c>
      <c r="H11" s="1">
        <v>2138453</v>
      </c>
    </row>
    <row r="12" spans="1:17" x14ac:dyDescent="0.25">
      <c r="A12" s="1" t="s">
        <v>10</v>
      </c>
      <c r="B12" s="1">
        <v>64241651</v>
      </c>
      <c r="C12" s="1">
        <v>164283263</v>
      </c>
      <c r="D12" s="1">
        <v>164163365</v>
      </c>
      <c r="E12" s="1">
        <v>164059147</v>
      </c>
      <c r="F12" s="1">
        <v>164032681</v>
      </c>
      <c r="G12" s="1">
        <v>164044182</v>
      </c>
      <c r="H12" s="1">
        <v>164044145</v>
      </c>
    </row>
    <row r="13" spans="1:17" x14ac:dyDescent="0.25">
      <c r="A13" s="1" t="s">
        <v>11</v>
      </c>
      <c r="B13" s="1">
        <v>64909767</v>
      </c>
      <c r="C13" s="1">
        <v>166182040</v>
      </c>
      <c r="D13" s="1">
        <v>166182081</v>
      </c>
      <c r="E13" s="1">
        <v>166182465</v>
      </c>
      <c r="F13" s="1">
        <v>166182585</v>
      </c>
      <c r="G13" s="1">
        <v>166182574</v>
      </c>
      <c r="H13" s="1">
        <v>166182598</v>
      </c>
    </row>
    <row r="14" spans="1:17" x14ac:dyDescent="0.25">
      <c r="A14" s="1" t="s">
        <v>20</v>
      </c>
      <c r="B14" s="1">
        <v>361308545</v>
      </c>
      <c r="C14" s="1">
        <v>926661251</v>
      </c>
      <c r="D14" s="1">
        <v>926661386</v>
      </c>
      <c r="E14" s="1">
        <v>926662368</v>
      </c>
      <c r="F14" s="1">
        <v>926666750</v>
      </c>
      <c r="G14" s="1">
        <v>926662696</v>
      </c>
      <c r="H14" s="1">
        <v>926662179</v>
      </c>
    </row>
    <row r="15" spans="1:17" ht="15" x14ac:dyDescent="0.3">
      <c r="A15" s="1" t="s">
        <v>13</v>
      </c>
      <c r="B15" s="1">
        <v>98.019734</v>
      </c>
      <c r="C15" s="1">
        <v>108.409351</v>
      </c>
      <c r="D15" s="1">
        <v>109.37464900000001</v>
      </c>
      <c r="E15" s="1">
        <v>109.901257</v>
      </c>
      <c r="F15" s="1">
        <v>110.338429</v>
      </c>
      <c r="G15" s="1">
        <v>110.64744899999999</v>
      </c>
      <c r="H15" s="1">
        <v>110.764639</v>
      </c>
      <c r="L15"/>
      <c r="M15"/>
    </row>
    <row r="16" spans="1:17" ht="15" x14ac:dyDescent="0.3">
      <c r="A16" s="1" t="s">
        <v>14</v>
      </c>
      <c r="B16" s="1">
        <v>11.22223</v>
      </c>
      <c r="C16" s="1">
        <v>18.448592999999999</v>
      </c>
      <c r="D16" s="1">
        <v>18.285772999999999</v>
      </c>
      <c r="E16" s="1">
        <v>18.198153999999999</v>
      </c>
      <c r="F16" s="1">
        <v>18.126051</v>
      </c>
      <c r="G16" s="1">
        <v>18.075427999999999</v>
      </c>
      <c r="H16" s="1">
        <v>18.056304000000001</v>
      </c>
      <c r="L16"/>
      <c r="M16"/>
    </row>
    <row r="18" spans="1:3" x14ac:dyDescent="0.25">
      <c r="B18" s="1" t="s">
        <v>21</v>
      </c>
      <c r="C18" s="1" t="s">
        <v>30</v>
      </c>
    </row>
    <row r="19" spans="1:3" x14ac:dyDescent="0.25">
      <c r="A19" s="1" t="s">
        <v>13</v>
      </c>
      <c r="B19" s="1">
        <v>98.019734</v>
      </c>
      <c r="C19" s="1">
        <v>108.409351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4D0A-FE77-4214-AB0B-53E0429C05A7}">
  <dimension ref="A1:V22"/>
  <sheetViews>
    <sheetView workbookViewId="0">
      <selection activeCell="B1" sqref="B1:B1048576"/>
    </sheetView>
  </sheetViews>
  <sheetFormatPr defaultRowHeight="15" x14ac:dyDescent="0.3"/>
  <cols>
    <col min="1" max="1" width="23.75" style="3" bestFit="1" customWidth="1"/>
    <col min="2" max="3" width="9.625" style="2" bestFit="1" customWidth="1"/>
    <col min="4" max="4" width="21.75" style="2" bestFit="1" customWidth="1"/>
    <col min="5" max="5" width="33" style="2" bestFit="1" customWidth="1"/>
    <col min="6" max="6" width="38.75" style="2" bestFit="1" customWidth="1"/>
    <col min="7" max="7" width="44.625" style="2" bestFit="1" customWidth="1"/>
    <col min="8" max="22" width="9" style="2"/>
    <col min="23" max="16384" width="9" style="3"/>
  </cols>
  <sheetData>
    <row r="1" spans="1:22" x14ac:dyDescent="0.3">
      <c r="A1" s="2"/>
      <c r="B1" s="2" t="s">
        <v>33</v>
      </c>
      <c r="C1" s="2" t="s">
        <v>34</v>
      </c>
      <c r="D1" s="2" t="s">
        <v>35</v>
      </c>
      <c r="E1" s="2" t="s">
        <v>38</v>
      </c>
      <c r="F1" s="2" t="s">
        <v>39</v>
      </c>
      <c r="G1" s="2" t="s">
        <v>43</v>
      </c>
      <c r="H1" s="2" t="s">
        <v>44</v>
      </c>
    </row>
    <row r="2" spans="1:22" s="5" customFormat="1" x14ac:dyDescent="0.3">
      <c r="A2" s="4" t="s">
        <v>1</v>
      </c>
      <c r="B2" s="4">
        <v>139245</v>
      </c>
      <c r="C2" s="4">
        <v>149265</v>
      </c>
      <c r="D2" s="4">
        <v>148407</v>
      </c>
      <c r="E2" s="4">
        <v>146266</v>
      </c>
      <c r="F2" s="4">
        <v>139724</v>
      </c>
      <c r="G2" s="4">
        <v>153009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x14ac:dyDescent="0.3">
      <c r="A3" s="4" t="s">
        <v>2</v>
      </c>
      <c r="B3" s="4">
        <v>1676</v>
      </c>
      <c r="C3" s="4">
        <v>1176</v>
      </c>
      <c r="D3" s="4">
        <v>1270</v>
      </c>
      <c r="E3" s="4">
        <v>1206</v>
      </c>
      <c r="F3" s="4">
        <v>1573</v>
      </c>
      <c r="G3" s="4">
        <v>1653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s="5" customFormat="1" x14ac:dyDescent="0.3">
      <c r="A4" s="4" t="s">
        <v>3</v>
      </c>
      <c r="B4" s="4">
        <v>153278</v>
      </c>
      <c r="C4" s="4">
        <v>163209</v>
      </c>
      <c r="D4" s="4">
        <v>162357</v>
      </c>
      <c r="E4" s="4">
        <v>160168</v>
      </c>
      <c r="F4" s="4">
        <v>153310</v>
      </c>
      <c r="G4" s="4">
        <v>166588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s="5" customFormat="1" x14ac:dyDescent="0.3">
      <c r="A5" s="4" t="s">
        <v>4</v>
      </c>
      <c r="B5" s="4">
        <v>154954</v>
      </c>
      <c r="C5" s="4">
        <v>164385</v>
      </c>
      <c r="D5" s="4">
        <v>163627</v>
      </c>
      <c r="E5" s="4">
        <v>161374</v>
      </c>
      <c r="F5" s="4">
        <v>154883</v>
      </c>
      <c r="G5" s="4">
        <v>168241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7" customFormat="1" x14ac:dyDescent="0.3">
      <c r="A6" s="6" t="s">
        <v>5</v>
      </c>
      <c r="B6" s="6">
        <v>114113</v>
      </c>
      <c r="C6" s="6">
        <v>104565</v>
      </c>
      <c r="D6" s="6">
        <v>105448</v>
      </c>
      <c r="E6" s="6">
        <v>107578</v>
      </c>
      <c r="F6" s="6">
        <v>114161</v>
      </c>
      <c r="G6" s="6">
        <v>100793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s="7" customFormat="1" x14ac:dyDescent="0.3">
      <c r="A7" s="6" t="s">
        <v>6</v>
      </c>
      <c r="B7" s="6">
        <v>1854</v>
      </c>
      <c r="C7" s="6">
        <v>4389</v>
      </c>
      <c r="D7" s="6">
        <v>3526</v>
      </c>
      <c r="E7" s="6">
        <v>3250</v>
      </c>
      <c r="F7" s="6">
        <v>1831</v>
      </c>
      <c r="G7" s="6">
        <v>1737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s="7" customFormat="1" x14ac:dyDescent="0.3">
      <c r="A8" s="6" t="s">
        <v>7</v>
      </c>
      <c r="B8" s="6">
        <v>117119</v>
      </c>
      <c r="C8" s="6">
        <v>105181</v>
      </c>
      <c r="D8" s="6">
        <v>106842</v>
      </c>
      <c r="E8" s="6">
        <v>109326</v>
      </c>
      <c r="F8" s="6">
        <v>117331</v>
      </c>
      <c r="G8" s="6">
        <v>103976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s="7" customFormat="1" x14ac:dyDescent="0.3">
      <c r="A9" s="6" t="s">
        <v>8</v>
      </c>
      <c r="B9" s="6">
        <v>119053</v>
      </c>
      <c r="C9" s="6">
        <v>109570</v>
      </c>
      <c r="D9" s="6">
        <v>110368</v>
      </c>
      <c r="E9" s="6">
        <v>112576</v>
      </c>
      <c r="F9" s="6">
        <v>119162</v>
      </c>
      <c r="G9" s="6">
        <v>105713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3">
      <c r="A10" s="8" t="s">
        <v>0</v>
      </c>
      <c r="B10" s="8">
        <v>255362</v>
      </c>
      <c r="C10" s="8">
        <v>253834</v>
      </c>
      <c r="D10" s="8">
        <v>253859</v>
      </c>
      <c r="E10" s="8">
        <v>253848</v>
      </c>
      <c r="F10" s="8">
        <v>253889</v>
      </c>
      <c r="G10" s="8">
        <v>253806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s="9" customFormat="1" x14ac:dyDescent="0.3">
      <c r="A11" s="8" t="s">
        <v>9</v>
      </c>
      <c r="B11" s="8">
        <v>3530</v>
      </c>
      <c r="C11" s="8">
        <v>5565</v>
      </c>
      <c r="D11" s="8">
        <v>4796</v>
      </c>
      <c r="E11" s="8">
        <v>4456</v>
      </c>
      <c r="F11" s="8">
        <v>3404</v>
      </c>
      <c r="G11" s="8">
        <v>3390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s="9" customFormat="1" x14ac:dyDescent="0.3">
      <c r="A12" s="8" t="s">
        <v>10</v>
      </c>
      <c r="B12" s="8">
        <v>270487</v>
      </c>
      <c r="C12" s="8">
        <v>268400</v>
      </c>
      <c r="D12" s="8">
        <v>269209</v>
      </c>
      <c r="E12" s="8">
        <v>269504</v>
      </c>
      <c r="F12" s="8">
        <v>270651</v>
      </c>
      <c r="G12" s="8">
        <v>270574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s="9" customFormat="1" x14ac:dyDescent="0.3">
      <c r="A13" s="8" t="s">
        <v>11</v>
      </c>
      <c r="B13" s="8">
        <v>274071</v>
      </c>
      <c r="C13" s="8">
        <v>273965</v>
      </c>
      <c r="D13" s="8">
        <v>274005</v>
      </c>
      <c r="E13" s="8">
        <v>273960</v>
      </c>
      <c r="F13" s="8">
        <v>274055</v>
      </c>
      <c r="G13" s="8">
        <v>273964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3">
      <c r="A14" s="2" t="s">
        <v>20</v>
      </c>
      <c r="B14" s="8">
        <v>1530859</v>
      </c>
      <c r="C14" s="8">
        <v>1530859</v>
      </c>
      <c r="D14" s="2">
        <v>1531159</v>
      </c>
      <c r="E14" s="2">
        <v>1531097</v>
      </c>
      <c r="F14" s="2">
        <v>1531269</v>
      </c>
      <c r="G14" s="2">
        <v>1531264</v>
      </c>
    </row>
    <row r="15" spans="1:22" x14ac:dyDescent="0.3">
      <c r="A15" s="2" t="s">
        <v>31</v>
      </c>
      <c r="B15" s="2">
        <v>42907</v>
      </c>
      <c r="C15" s="8">
        <v>42907</v>
      </c>
      <c r="D15" s="2">
        <v>42930</v>
      </c>
      <c r="E15" s="2">
        <v>42921</v>
      </c>
      <c r="F15" s="2">
        <v>42933</v>
      </c>
      <c r="G15" s="2">
        <v>42932</v>
      </c>
    </row>
    <row r="16" spans="1:22" x14ac:dyDescent="0.3">
      <c r="A16" s="2" t="s">
        <v>13</v>
      </c>
    </row>
    <row r="17" spans="1:8" x14ac:dyDescent="0.3">
      <c r="A17" s="2" t="s">
        <v>14</v>
      </c>
    </row>
    <row r="18" spans="1:8" x14ac:dyDescent="0.3">
      <c r="C18" s="2" t="s">
        <v>36</v>
      </c>
      <c r="D18" s="2" t="s">
        <v>36</v>
      </c>
      <c r="E18" s="2" t="s">
        <v>37</v>
      </c>
    </row>
    <row r="20" spans="1:8" x14ac:dyDescent="0.3">
      <c r="B20" s="2">
        <f>B3/B5 %</f>
        <v>1.081611316906953</v>
      </c>
      <c r="C20" s="2">
        <f t="shared" ref="C20:F20" si="0">C3/C5 %</f>
        <v>0.71539374030477232</v>
      </c>
      <c r="D20" s="2">
        <f t="shared" si="0"/>
        <v>0.77615552445501046</v>
      </c>
      <c r="E20" s="2">
        <f t="shared" si="0"/>
        <v>0.74733228401105511</v>
      </c>
      <c r="F20" s="2">
        <f t="shared" si="0"/>
        <v>1.0156053278926673</v>
      </c>
      <c r="G20" s="2">
        <f t="shared" ref="G20:H20" si="1">G3/G5 %</f>
        <v>0.98251912435137689</v>
      </c>
      <c r="H20" s="2" t="e">
        <f t="shared" si="1"/>
        <v>#DIV/0!</v>
      </c>
    </row>
    <row r="21" spans="1:8" x14ac:dyDescent="0.3">
      <c r="B21" s="2">
        <f>B7/B9 %</f>
        <v>1.557289610509605</v>
      </c>
      <c r="C21" s="2">
        <f t="shared" ref="C21:F21" si="2">C7/C9 %</f>
        <v>4.005658483161449</v>
      </c>
      <c r="D21" s="2">
        <f t="shared" si="2"/>
        <v>3.1947665990142067</v>
      </c>
      <c r="E21" s="2">
        <f t="shared" si="2"/>
        <v>2.8869386014781124</v>
      </c>
      <c r="F21" s="2">
        <f t="shared" si="2"/>
        <v>1.5365636696262233</v>
      </c>
      <c r="G21" s="2">
        <f t="shared" ref="G21:H21" si="3">G7/G9 %</f>
        <v>1.6431280920984173</v>
      </c>
      <c r="H21" s="2" t="e">
        <f t="shared" si="3"/>
        <v>#DIV/0!</v>
      </c>
    </row>
    <row r="22" spans="1:8" x14ac:dyDescent="0.3">
      <c r="B22" s="2">
        <f>B11/B13 %</f>
        <v>1.2879874193183518</v>
      </c>
      <c r="C22" s="2">
        <f t="shared" ref="C22:F22" si="4">C11/C13 %</f>
        <v>2.0312813680579636</v>
      </c>
      <c r="D22" s="2">
        <f t="shared" si="4"/>
        <v>1.750333023120016</v>
      </c>
      <c r="E22" s="2">
        <f t="shared" si="4"/>
        <v>1.6265148196817054</v>
      </c>
      <c r="F22" s="2">
        <f t="shared" si="4"/>
        <v>1.2420864425024174</v>
      </c>
      <c r="G22" s="2">
        <f t="shared" ref="G22:H22" si="5">G11/G13 %</f>
        <v>1.237388854010016</v>
      </c>
      <c r="H22" s="2" t="e">
        <f t="shared" si="5"/>
        <v>#DIV/0!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CB96-9BA1-4D9B-96DC-302C616D2A72}">
  <dimension ref="A1:U41"/>
  <sheetViews>
    <sheetView tabSelected="1" topLeftCell="A13" workbookViewId="0">
      <selection activeCell="A34" sqref="A34:B39"/>
    </sheetView>
  </sheetViews>
  <sheetFormatPr defaultRowHeight="15" x14ac:dyDescent="0.3"/>
  <cols>
    <col min="1" max="1" width="23.75" style="22" bestFit="1" customWidth="1"/>
    <col min="2" max="2" width="13.25" style="14" bestFit="1" customWidth="1"/>
    <col min="3" max="3" width="14.5" style="14" bestFit="1" customWidth="1"/>
    <col min="4" max="4" width="21.75" style="14" bestFit="1" customWidth="1"/>
    <col min="5" max="5" width="21" style="14" bestFit="1" customWidth="1"/>
    <col min="6" max="6" width="39.5" style="14" bestFit="1" customWidth="1"/>
    <col min="7" max="7" width="52.125" style="14" bestFit="1" customWidth="1"/>
    <col min="8" max="21" width="9" style="2"/>
    <col min="22" max="16384" width="9" style="3"/>
  </cols>
  <sheetData>
    <row r="1" spans="1:21" s="52" customFormat="1" ht="16.2" thickTop="1" thickBot="1" x14ac:dyDescent="0.35">
      <c r="A1" s="16"/>
      <c r="B1" s="16" t="s">
        <v>33</v>
      </c>
      <c r="C1" s="16" t="s">
        <v>34</v>
      </c>
      <c r="D1" s="16" t="s">
        <v>57</v>
      </c>
      <c r="E1" s="16" t="s">
        <v>46</v>
      </c>
      <c r="F1" s="16" t="s">
        <v>59</v>
      </c>
      <c r="G1" s="16" t="s">
        <v>48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s="26" customFormat="1" ht="15.6" thickTop="1" x14ac:dyDescent="0.3">
      <c r="A2" s="23" t="s">
        <v>1</v>
      </c>
      <c r="B2" s="43">
        <v>86283950</v>
      </c>
      <c r="C2" s="43">
        <v>91447872</v>
      </c>
      <c r="D2" s="43">
        <v>90408907</v>
      </c>
      <c r="E2" s="43"/>
      <c r="F2" s="43">
        <v>86601919</v>
      </c>
      <c r="G2" s="43">
        <v>89012786</v>
      </c>
      <c r="H2" s="24"/>
      <c r="I2" s="24"/>
      <c r="J2" s="24"/>
      <c r="K2" s="24"/>
      <c r="L2" s="24"/>
      <c r="M2" s="24"/>
      <c r="N2" s="24"/>
      <c r="O2" s="24"/>
      <c r="P2" s="24"/>
      <c r="Q2" s="25"/>
      <c r="R2" s="25"/>
      <c r="S2" s="25"/>
      <c r="T2" s="25"/>
      <c r="U2" s="25"/>
    </row>
    <row r="3" spans="1:21" s="5" customFormat="1" x14ac:dyDescent="0.3">
      <c r="A3" s="17" t="s">
        <v>2</v>
      </c>
      <c r="B3" s="11">
        <v>1038025</v>
      </c>
      <c r="C3" s="11">
        <v>1039385</v>
      </c>
      <c r="D3" s="11">
        <v>682572</v>
      </c>
      <c r="E3" s="11"/>
      <c r="F3" s="11">
        <v>991212</v>
      </c>
      <c r="G3" s="11">
        <v>348471</v>
      </c>
      <c r="H3" s="2"/>
      <c r="I3" s="2"/>
      <c r="J3" s="2"/>
      <c r="K3" s="2"/>
      <c r="L3" s="2"/>
      <c r="M3" s="2"/>
      <c r="N3" s="2"/>
      <c r="O3" s="2"/>
      <c r="P3" s="2"/>
      <c r="Q3" s="4"/>
      <c r="R3" s="4"/>
      <c r="S3" s="4"/>
      <c r="T3" s="4"/>
      <c r="U3" s="4"/>
    </row>
    <row r="4" spans="1:21" s="5" customFormat="1" x14ac:dyDescent="0.3">
      <c r="A4" s="17" t="s">
        <v>3</v>
      </c>
      <c r="B4" s="11">
        <v>94311484</v>
      </c>
      <c r="C4" s="11">
        <v>99159945</v>
      </c>
      <c r="D4" s="11">
        <v>98477809</v>
      </c>
      <c r="E4" s="11"/>
      <c r="F4" s="11">
        <v>94362111</v>
      </c>
      <c r="G4" s="11">
        <v>97415766</v>
      </c>
      <c r="H4" s="2"/>
      <c r="I4" s="2"/>
      <c r="J4" s="2"/>
      <c r="K4" s="2"/>
      <c r="L4" s="2"/>
      <c r="M4" s="2"/>
      <c r="N4" s="2"/>
      <c r="O4" s="2"/>
      <c r="P4" s="2"/>
      <c r="Q4" s="4"/>
      <c r="R4" s="4"/>
      <c r="S4" s="4"/>
      <c r="T4" s="4"/>
      <c r="U4" s="4"/>
    </row>
    <row r="5" spans="1:21" s="30" customFormat="1" ht="15.6" thickBot="1" x14ac:dyDescent="0.35">
      <c r="A5" s="27" t="s">
        <v>4</v>
      </c>
      <c r="B5" s="44">
        <v>95349509</v>
      </c>
      <c r="C5" s="44">
        <v>100199330</v>
      </c>
      <c r="D5" s="44">
        <v>99160381</v>
      </c>
      <c r="E5" s="44"/>
      <c r="F5" s="44">
        <v>95353323</v>
      </c>
      <c r="G5" s="44">
        <v>97764237</v>
      </c>
      <c r="H5" s="28"/>
      <c r="I5" s="28"/>
      <c r="J5" s="28"/>
      <c r="K5" s="28"/>
      <c r="L5" s="28"/>
      <c r="M5" s="28"/>
      <c r="N5" s="28"/>
      <c r="O5" s="28"/>
      <c r="P5" s="28"/>
      <c r="Q5" s="29"/>
      <c r="R5" s="29"/>
      <c r="S5" s="29"/>
      <c r="T5" s="29"/>
      <c r="U5" s="29"/>
    </row>
    <row r="6" spans="1:21" s="33" customFormat="1" ht="15.6" thickTop="1" x14ac:dyDescent="0.3">
      <c r="A6" s="31" t="s">
        <v>5</v>
      </c>
      <c r="B6" s="45">
        <v>68489281</v>
      </c>
      <c r="C6" s="45">
        <v>63645043</v>
      </c>
      <c r="D6" s="45">
        <v>64683684</v>
      </c>
      <c r="E6" s="45"/>
      <c r="F6" s="45">
        <v>68491621</v>
      </c>
      <c r="G6" s="45">
        <v>66071253</v>
      </c>
      <c r="H6" s="24"/>
      <c r="I6" s="24"/>
      <c r="J6" s="24"/>
      <c r="K6" s="24"/>
      <c r="L6" s="24"/>
      <c r="M6" s="24"/>
      <c r="N6" s="24"/>
      <c r="O6" s="24"/>
      <c r="P6" s="24"/>
      <c r="Q6" s="32"/>
      <c r="R6" s="32"/>
      <c r="S6" s="32"/>
      <c r="T6" s="32"/>
      <c r="U6" s="32"/>
    </row>
    <row r="7" spans="1:21" s="7" customFormat="1" x14ac:dyDescent="0.3">
      <c r="A7" s="18" t="s">
        <v>6</v>
      </c>
      <c r="B7" s="12">
        <v>1085293</v>
      </c>
      <c r="C7" s="12">
        <v>2243398</v>
      </c>
      <c r="D7" s="12">
        <v>1890093</v>
      </c>
      <c r="E7" s="12"/>
      <c r="F7" s="12">
        <v>1082539</v>
      </c>
      <c r="G7" s="12">
        <v>1379906</v>
      </c>
      <c r="H7" s="2"/>
      <c r="I7" s="2"/>
      <c r="J7" s="2"/>
      <c r="K7" s="2"/>
      <c r="L7" s="2"/>
      <c r="M7" s="2"/>
      <c r="N7" s="2"/>
      <c r="O7" s="2"/>
      <c r="P7" s="2"/>
      <c r="Q7" s="6"/>
      <c r="R7" s="6"/>
      <c r="S7" s="6"/>
      <c r="T7" s="6"/>
      <c r="U7" s="6"/>
    </row>
    <row r="8" spans="1:21" s="7" customFormat="1" x14ac:dyDescent="0.3">
      <c r="A8" s="18" t="s">
        <v>7</v>
      </c>
      <c r="B8" s="12">
        <v>69747663</v>
      </c>
      <c r="C8" s="12">
        <v>63739091</v>
      </c>
      <c r="D8" s="12">
        <v>65131049</v>
      </c>
      <c r="E8" s="12"/>
      <c r="F8" s="12">
        <v>69746612</v>
      </c>
      <c r="G8" s="12">
        <v>67028807</v>
      </c>
      <c r="H8" s="2"/>
      <c r="I8" s="2"/>
      <c r="J8" s="2"/>
      <c r="K8" s="2"/>
      <c r="L8" s="2"/>
      <c r="M8" s="2"/>
      <c r="N8" s="2"/>
      <c r="O8" s="2"/>
      <c r="P8" s="2"/>
      <c r="Q8" s="6"/>
      <c r="R8" s="6"/>
      <c r="S8" s="6"/>
      <c r="T8" s="6"/>
      <c r="U8" s="6"/>
    </row>
    <row r="9" spans="1:21" s="36" customFormat="1" ht="15.6" thickBot="1" x14ac:dyDescent="0.35">
      <c r="A9" s="34" t="s">
        <v>8</v>
      </c>
      <c r="B9" s="46">
        <v>70832956</v>
      </c>
      <c r="C9" s="46">
        <v>65982489</v>
      </c>
      <c r="D9" s="46">
        <v>67021142</v>
      </c>
      <c r="E9" s="46"/>
      <c r="F9" s="46">
        <v>70829151</v>
      </c>
      <c r="G9" s="46">
        <v>68408713</v>
      </c>
      <c r="H9" s="28"/>
      <c r="I9" s="28"/>
      <c r="J9" s="28"/>
      <c r="K9" s="28"/>
      <c r="L9" s="28"/>
      <c r="M9" s="28"/>
      <c r="N9" s="28"/>
      <c r="O9" s="28"/>
      <c r="P9" s="28"/>
      <c r="Q9" s="35"/>
      <c r="R9" s="35"/>
      <c r="S9" s="35"/>
      <c r="T9" s="35"/>
      <c r="U9" s="35"/>
    </row>
    <row r="10" spans="1:21" s="39" customFormat="1" ht="15.6" thickTop="1" x14ac:dyDescent="0.3">
      <c r="A10" s="37" t="s">
        <v>0</v>
      </c>
      <c r="B10" s="47">
        <v>154773231</v>
      </c>
      <c r="C10" s="47">
        <v>155092942</v>
      </c>
      <c r="D10" s="47">
        <v>155092591</v>
      </c>
      <c r="E10" s="47"/>
      <c r="F10" s="47">
        <v>155093593</v>
      </c>
      <c r="G10" s="47">
        <v>155084039</v>
      </c>
      <c r="H10" s="24"/>
      <c r="I10" s="24"/>
      <c r="J10" s="24"/>
      <c r="K10" s="24"/>
      <c r="L10" s="24"/>
      <c r="M10" s="24"/>
      <c r="N10" s="24"/>
      <c r="O10" s="24"/>
      <c r="P10" s="24"/>
      <c r="Q10" s="38"/>
      <c r="R10" s="38"/>
      <c r="S10" s="38"/>
      <c r="T10" s="38"/>
      <c r="U10" s="38"/>
    </row>
    <row r="11" spans="1:21" s="9" customFormat="1" x14ac:dyDescent="0.3">
      <c r="A11" s="19" t="s">
        <v>9</v>
      </c>
      <c r="B11" s="13">
        <v>2123318</v>
      </c>
      <c r="C11" s="13">
        <v>3282783</v>
      </c>
      <c r="D11" s="8">
        <v>2572665</v>
      </c>
      <c r="E11" s="13"/>
      <c r="F11" s="13">
        <v>2073751</v>
      </c>
      <c r="G11" s="13">
        <v>1728377</v>
      </c>
      <c r="H11" s="2">
        <f>G11/B11 %</f>
        <v>81.399818585817101</v>
      </c>
      <c r="I11" s="2"/>
      <c r="J11" s="2"/>
      <c r="K11" s="2"/>
      <c r="L11" s="2"/>
      <c r="M11" s="2"/>
      <c r="N11" s="2"/>
      <c r="O11" s="2"/>
      <c r="P11" s="2"/>
      <c r="Q11" s="8"/>
      <c r="R11" s="8"/>
      <c r="S11" s="8"/>
      <c r="T11" s="8"/>
      <c r="U11" s="8"/>
    </row>
    <row r="12" spans="1:21" s="9" customFormat="1" x14ac:dyDescent="0.3">
      <c r="A12" s="19" t="s">
        <v>10</v>
      </c>
      <c r="B12" s="13">
        <v>164059147</v>
      </c>
      <c r="C12" s="13">
        <v>162899063</v>
      </c>
      <c r="D12" s="13">
        <v>163608858</v>
      </c>
      <c r="E12" s="13"/>
      <c r="F12" s="13">
        <v>164108723</v>
      </c>
      <c r="G12" s="13">
        <v>164444573</v>
      </c>
      <c r="H12" s="2"/>
      <c r="I12" s="2"/>
      <c r="J12" s="2"/>
      <c r="K12" s="2"/>
      <c r="L12" s="2"/>
      <c r="M12" s="2"/>
      <c r="N12" s="2"/>
      <c r="O12" s="2"/>
      <c r="P12" s="2"/>
      <c r="Q12" s="8"/>
      <c r="R12" s="8"/>
      <c r="S12" s="8"/>
      <c r="T12" s="8"/>
      <c r="U12" s="8"/>
    </row>
    <row r="13" spans="1:21" s="42" customFormat="1" ht="15.6" thickBot="1" x14ac:dyDescent="0.35">
      <c r="A13" s="40" t="s">
        <v>11</v>
      </c>
      <c r="B13" s="48">
        <v>166182465</v>
      </c>
      <c r="C13" s="48">
        <v>166181846</v>
      </c>
      <c r="D13" s="48">
        <v>166181523</v>
      </c>
      <c r="E13" s="48"/>
      <c r="F13" s="48">
        <v>166182474</v>
      </c>
      <c r="G13" s="48">
        <v>166172950</v>
      </c>
      <c r="H13" s="28"/>
      <c r="I13" s="28"/>
      <c r="J13" s="28"/>
      <c r="K13" s="28"/>
      <c r="L13" s="28"/>
      <c r="M13" s="28"/>
      <c r="N13" s="28"/>
      <c r="O13" s="28"/>
      <c r="P13" s="28"/>
      <c r="Q13" s="41"/>
      <c r="R13" s="41"/>
      <c r="S13" s="41"/>
      <c r="T13" s="41"/>
      <c r="U13" s="41"/>
    </row>
    <row r="14" spans="1:21" s="39" customFormat="1" ht="15.6" thickTop="1" x14ac:dyDescent="0.3">
      <c r="A14" s="53" t="s">
        <v>20</v>
      </c>
      <c r="B14" s="10">
        <v>926662368</v>
      </c>
      <c r="C14" s="10">
        <v>926660518</v>
      </c>
      <c r="D14" s="10">
        <v>926659704</v>
      </c>
      <c r="E14" s="10"/>
      <c r="F14" s="10">
        <v>926662469</v>
      </c>
      <c r="G14" s="10">
        <v>926633874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x14ac:dyDescent="0.3">
      <c r="A15" s="20" t="s">
        <v>31</v>
      </c>
      <c r="B15" s="14">
        <v>24783840</v>
      </c>
      <c r="C15" s="14">
        <v>24783841</v>
      </c>
      <c r="D15" s="14">
        <v>24783845</v>
      </c>
      <c r="F15" s="14">
        <v>24783849</v>
      </c>
      <c r="G15" s="14">
        <v>24783836</v>
      </c>
    </row>
    <row r="16" spans="1:21" x14ac:dyDescent="0.3">
      <c r="A16" s="20" t="s">
        <v>13</v>
      </c>
      <c r="B16" s="14">
        <v>109.901257</v>
      </c>
      <c r="C16" s="14">
        <v>108.508481</v>
      </c>
      <c r="D16" s="14">
        <v>108.484279</v>
      </c>
      <c r="F16" s="14">
        <v>108.484279</v>
      </c>
      <c r="G16" s="14">
        <v>109.242422</v>
      </c>
    </row>
    <row r="17" spans="1:21" s="50" customFormat="1" ht="15.6" thickBot="1" x14ac:dyDescent="0.35">
      <c r="A17" s="54" t="s">
        <v>14</v>
      </c>
      <c r="B17" s="49">
        <v>18.198153999999999</v>
      </c>
      <c r="C17" s="49">
        <v>18.431739</v>
      </c>
      <c r="D17" s="49">
        <v>18.435851</v>
      </c>
      <c r="E17" s="49"/>
      <c r="F17" s="49">
        <v>18.435851</v>
      </c>
      <c r="G17" s="49">
        <v>18.307905999999999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</row>
    <row r="18" spans="1:21" ht="16.2" thickTop="1" thickBot="1" x14ac:dyDescent="0.35">
      <c r="A18" s="53" t="s">
        <v>49</v>
      </c>
      <c r="B18" s="48">
        <v>166182465</v>
      </c>
      <c r="C18" s="10">
        <v>111539059</v>
      </c>
      <c r="D18" s="10">
        <v>98806683</v>
      </c>
      <c r="E18" s="10"/>
      <c r="F18" s="10">
        <v>165612512</v>
      </c>
      <c r="G18" s="10">
        <v>145265070</v>
      </c>
    </row>
    <row r="19" spans="1:21" ht="16.2" thickTop="1" thickBot="1" x14ac:dyDescent="0.35">
      <c r="A19" s="53" t="s">
        <v>50</v>
      </c>
      <c r="B19" s="10" t="s">
        <v>55</v>
      </c>
      <c r="C19" s="14">
        <v>31025150</v>
      </c>
      <c r="D19" s="14">
        <v>44768073</v>
      </c>
      <c r="F19" s="14">
        <v>518749</v>
      </c>
      <c r="G19" s="14">
        <v>19386569</v>
      </c>
    </row>
    <row r="20" spans="1:21" ht="16.2" thickTop="1" thickBot="1" x14ac:dyDescent="0.35">
      <c r="A20" s="53" t="s">
        <v>51</v>
      </c>
      <c r="B20" s="10" t="s">
        <v>55</v>
      </c>
      <c r="C20" s="14">
        <v>22200112</v>
      </c>
      <c r="D20" s="14">
        <v>14586360</v>
      </c>
      <c r="F20" s="14">
        <v>50528</v>
      </c>
      <c r="G20" s="14">
        <v>989867</v>
      </c>
    </row>
    <row r="21" spans="1:21" ht="16.2" thickTop="1" thickBot="1" x14ac:dyDescent="0.35">
      <c r="A21" s="53" t="s">
        <v>52</v>
      </c>
      <c r="B21" s="10" t="s">
        <v>55</v>
      </c>
      <c r="C21" s="14">
        <v>1417525</v>
      </c>
      <c r="D21" s="14">
        <v>8020407</v>
      </c>
      <c r="F21" s="14">
        <v>685</v>
      </c>
      <c r="G21" s="14">
        <v>273558</v>
      </c>
      <c r="M21" s="2">
        <v>12552</v>
      </c>
    </row>
    <row r="22" spans="1:21" ht="16.2" thickTop="1" thickBot="1" x14ac:dyDescent="0.35">
      <c r="A22" s="16" t="s">
        <v>53</v>
      </c>
      <c r="B22" s="10" t="s">
        <v>55</v>
      </c>
      <c r="C22" s="10" t="s">
        <v>55</v>
      </c>
      <c r="D22" s="10" t="s">
        <v>55</v>
      </c>
      <c r="E22" s="10" t="s">
        <v>55</v>
      </c>
      <c r="F22" s="10" t="s">
        <v>55</v>
      </c>
      <c r="G22" s="49">
        <v>257886</v>
      </c>
    </row>
    <row r="23" spans="1:21" s="58" customFormat="1" ht="16.2" thickTop="1" thickBot="1" x14ac:dyDescent="0.35">
      <c r="A23" s="55"/>
      <c r="B23" s="56"/>
      <c r="C23" s="56"/>
      <c r="D23" s="56"/>
      <c r="E23" s="56"/>
      <c r="F23" s="56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</row>
    <row r="24" spans="1:21" ht="16.2" thickTop="1" thickBot="1" x14ac:dyDescent="0.35">
      <c r="B24" s="16" t="s">
        <v>33</v>
      </c>
      <c r="C24" s="16" t="s">
        <v>34</v>
      </c>
      <c r="D24" s="16" t="s">
        <v>45</v>
      </c>
      <c r="E24" s="16" t="s">
        <v>46</v>
      </c>
      <c r="F24" s="16" t="s">
        <v>47</v>
      </c>
      <c r="G24" s="16" t="s">
        <v>48</v>
      </c>
    </row>
    <row r="25" spans="1:21" ht="15.6" thickTop="1" x14ac:dyDescent="0.3">
      <c r="A25" s="59" t="s">
        <v>40</v>
      </c>
      <c r="B25" s="10">
        <f>B3/B5 %</f>
        <v>1.0886526956316052</v>
      </c>
      <c r="C25" s="10">
        <f>C3/C5 %</f>
        <v>1.0373173153952226</v>
      </c>
      <c r="D25" s="10">
        <f>D3/D5 %</f>
        <v>0.6883515302346408</v>
      </c>
      <c r="E25" s="10"/>
      <c r="F25" s="10">
        <f>F3/F5 %</f>
        <v>1.0395148997586587</v>
      </c>
      <c r="G25" s="10">
        <f>G3/G5 %</f>
        <v>0.35644015715071758</v>
      </c>
    </row>
    <row r="26" spans="1:21" x14ac:dyDescent="0.3">
      <c r="A26" s="21" t="s">
        <v>41</v>
      </c>
      <c r="B26" s="14">
        <f>B7/B9 %</f>
        <v>1.5321865149888703</v>
      </c>
      <c r="C26" s="14">
        <f>C7/C9 %</f>
        <v>3.3999899579417199</v>
      </c>
      <c r="D26" s="14">
        <f>D7/D9 %</f>
        <v>2.8201444254709953</v>
      </c>
      <c r="F26" s="14">
        <f>F7/F9 %</f>
        <v>1.5283805957239274</v>
      </c>
      <c r="G26" s="14">
        <f>G7/G9 %</f>
        <v>2.0171494821134845</v>
      </c>
    </row>
    <row r="27" spans="1:21" ht="15.6" thickBot="1" x14ac:dyDescent="0.35">
      <c r="A27" s="60" t="s">
        <v>42</v>
      </c>
      <c r="B27" s="49">
        <f>B11/B13 %</f>
        <v>1.2777027949368787</v>
      </c>
      <c r="C27" s="49">
        <f>C11/C13 %</f>
        <v>1.9754161354062707</v>
      </c>
      <c r="D27" s="49">
        <f>D11/D13 %</f>
        <v>1.5481053209507534</v>
      </c>
      <c r="E27" s="49"/>
      <c r="F27" s="49">
        <f>F11/F13 %</f>
        <v>1.2478758740828471</v>
      </c>
      <c r="G27" s="49">
        <f>G11/G13 %</f>
        <v>1.0401073098840696</v>
      </c>
    </row>
    <row r="28" spans="1:21" ht="16.2" thickTop="1" thickBot="1" x14ac:dyDescent="0.35">
      <c r="A28" s="22" t="s">
        <v>56</v>
      </c>
      <c r="B28" s="14">
        <v>100</v>
      </c>
      <c r="C28" s="14">
        <f>C11/$B$11 %</f>
        <v>154.60628130124644</v>
      </c>
      <c r="D28" s="14">
        <f>D11/$B$11 %</f>
        <v>121.16249191124457</v>
      </c>
      <c r="E28" s="14">
        <f t="shared" ref="D28:G28" si="0">E11/$B$11 %</f>
        <v>0</v>
      </c>
      <c r="F28" s="14">
        <f t="shared" si="0"/>
        <v>97.665587537994782</v>
      </c>
      <c r="G28" s="14">
        <f t="shared" si="0"/>
        <v>81.399818585817101</v>
      </c>
    </row>
    <row r="29" spans="1:21" ht="16.2" thickTop="1" thickBot="1" x14ac:dyDescent="0.35">
      <c r="A29" s="53" t="s">
        <v>54</v>
      </c>
      <c r="B29" s="10">
        <f>B18/B$13 %</f>
        <v>100</v>
      </c>
      <c r="C29" s="10">
        <f>C18/C$13 %</f>
        <v>67.118678534838281</v>
      </c>
      <c r="D29" s="10">
        <f>D18/D$13 %</f>
        <v>59.457081158174248</v>
      </c>
      <c r="E29" s="10"/>
      <c r="F29" s="10">
        <f>F18/F$13 %</f>
        <v>99.657026408211976</v>
      </c>
      <c r="G29" s="10">
        <f>G18/G$13 %</f>
        <v>87.418000342414331</v>
      </c>
    </row>
    <row r="30" spans="1:21" ht="16.2" thickTop="1" thickBot="1" x14ac:dyDescent="0.35">
      <c r="A30" s="53" t="s">
        <v>50</v>
      </c>
      <c r="B30" s="10" t="s">
        <v>55</v>
      </c>
      <c r="C30" s="14">
        <f>C19/C$13 %</f>
        <v>18.669397859499046</v>
      </c>
      <c r="D30" s="14">
        <f>D19/D$13 %</f>
        <v>26.939260269025215</v>
      </c>
      <c r="F30" s="14">
        <f>F19/F$13 %</f>
        <v>0.31215626263934426</v>
      </c>
      <c r="G30" s="14">
        <f>G19/G$13 %</f>
        <v>11.666501076137843</v>
      </c>
    </row>
    <row r="31" spans="1:21" ht="16.2" thickTop="1" thickBot="1" x14ac:dyDescent="0.35">
      <c r="A31" s="53" t="s">
        <v>51</v>
      </c>
      <c r="B31" s="10" t="s">
        <v>55</v>
      </c>
      <c r="C31" s="14">
        <f>C20/C$13 %</f>
        <v>13.358927304249587</v>
      </c>
      <c r="D31" s="14">
        <f>D20/D$13 %</f>
        <v>8.7773657002770396</v>
      </c>
      <c r="F31" s="14">
        <f>F20/F$13 %</f>
        <v>3.0405131650645664E-2</v>
      </c>
      <c r="G31" s="14">
        <f>G20/G$13 %</f>
        <v>0.59568479707437338</v>
      </c>
    </row>
    <row r="32" spans="1:21" ht="16.2" thickTop="1" thickBot="1" x14ac:dyDescent="0.35">
      <c r="A32" s="53" t="s">
        <v>52</v>
      </c>
      <c r="B32" s="10" t="s">
        <v>55</v>
      </c>
      <c r="C32" s="14">
        <f>C21/C$13 %</f>
        <v>0.8529963014130918</v>
      </c>
      <c r="D32" s="14">
        <f>D21/D$13 %</f>
        <v>4.8262928725234993</v>
      </c>
      <c r="F32" s="14">
        <f>F21/F$13 %</f>
        <v>4.1219749803460021E-4</v>
      </c>
      <c r="G32" s="14">
        <f>G21/G$13 %</f>
        <v>0.16462246111656562</v>
      </c>
    </row>
    <row r="33" spans="1:7" ht="16.2" thickTop="1" thickBot="1" x14ac:dyDescent="0.35">
      <c r="A33" s="16" t="s">
        <v>53</v>
      </c>
      <c r="B33" s="15" t="s">
        <v>55</v>
      </c>
      <c r="C33" s="15" t="s">
        <v>55</v>
      </c>
      <c r="D33" s="15" t="s">
        <v>55</v>
      </c>
      <c r="E33" s="15" t="s">
        <v>55</v>
      </c>
      <c r="F33" s="15" t="s">
        <v>55</v>
      </c>
      <c r="G33" s="49">
        <f>G22/G$13 %</f>
        <v>0.15519132325688387</v>
      </c>
    </row>
    <row r="34" spans="1:7" ht="16.2" thickTop="1" thickBot="1" x14ac:dyDescent="0.35">
      <c r="B34" s="16" t="s">
        <v>64</v>
      </c>
      <c r="D34" s="20"/>
      <c r="E34" s="20" t="s">
        <v>32</v>
      </c>
      <c r="F34" s="16" t="s">
        <v>48</v>
      </c>
      <c r="G34" s="16" t="s">
        <v>58</v>
      </c>
    </row>
    <row r="35" spans="1:7" ht="16.2" thickTop="1" thickBot="1" x14ac:dyDescent="0.35">
      <c r="A35" s="53" t="s">
        <v>49</v>
      </c>
      <c r="B35" s="14">
        <v>87.418000342414331</v>
      </c>
      <c r="D35" s="59" t="s">
        <v>60</v>
      </c>
      <c r="E35" s="14">
        <v>1.0886526956316052</v>
      </c>
      <c r="F35" s="14">
        <v>0.35644015715071758</v>
      </c>
      <c r="G35" s="14">
        <v>1.0395148997586587</v>
      </c>
    </row>
    <row r="36" spans="1:7" ht="16.2" thickTop="1" thickBot="1" x14ac:dyDescent="0.35">
      <c r="A36" s="53" t="s">
        <v>50</v>
      </c>
      <c r="B36" s="14">
        <v>11.666501076137843</v>
      </c>
      <c r="D36" s="21" t="s">
        <v>61</v>
      </c>
      <c r="E36" s="14">
        <v>1.5321865149888703</v>
      </c>
      <c r="F36" s="14">
        <v>2.0171494821134845</v>
      </c>
      <c r="G36" s="14">
        <v>1.5283805957239274</v>
      </c>
    </row>
    <row r="37" spans="1:7" ht="16.2" thickTop="1" thickBot="1" x14ac:dyDescent="0.35">
      <c r="A37" s="53" t="s">
        <v>51</v>
      </c>
      <c r="B37" s="14">
        <v>0.59568479707437338</v>
      </c>
      <c r="D37" s="60" t="s">
        <v>62</v>
      </c>
      <c r="E37" s="14">
        <v>1.2777027949368787</v>
      </c>
      <c r="F37" s="14">
        <v>1.0401073098840696</v>
      </c>
      <c r="G37" s="14">
        <v>1.2478758740828471</v>
      </c>
    </row>
    <row r="38" spans="1:7" ht="16.2" thickTop="1" thickBot="1" x14ac:dyDescent="0.35">
      <c r="A38" s="53" t="s">
        <v>52</v>
      </c>
      <c r="B38" s="14">
        <v>0.16462246111656562</v>
      </c>
      <c r="D38" s="61" t="s">
        <v>63</v>
      </c>
      <c r="E38" s="14">
        <v>0</v>
      </c>
      <c r="F38" s="14">
        <v>-18.600000000000001</v>
      </c>
      <c r="G38" s="14">
        <v>97.665587537994782</v>
      </c>
    </row>
    <row r="39" spans="1:7" ht="16.2" thickTop="1" thickBot="1" x14ac:dyDescent="0.35">
      <c r="A39" s="16" t="s">
        <v>53</v>
      </c>
      <c r="B39" s="14">
        <v>0.15519132325688387</v>
      </c>
      <c r="D39" s="20" t="s">
        <v>13</v>
      </c>
      <c r="E39" s="14">
        <v>109.901257</v>
      </c>
      <c r="F39" s="14">
        <v>109.242422</v>
      </c>
      <c r="G39" s="14">
        <v>108.484279</v>
      </c>
    </row>
    <row r="40" spans="1:7" ht="16.2" thickTop="1" thickBot="1" x14ac:dyDescent="0.35">
      <c r="D40" s="54" t="s">
        <v>14</v>
      </c>
      <c r="E40" s="49">
        <v>18.198153999999999</v>
      </c>
      <c r="F40" s="49">
        <v>18.307905999999999</v>
      </c>
      <c r="G40" s="49">
        <v>18.435851</v>
      </c>
    </row>
    <row r="41" spans="1:7" ht="15.6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software</vt:lpstr>
      <vt:lpstr>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</dc:creator>
  <cp:lastModifiedBy>彥宇 林</cp:lastModifiedBy>
  <dcterms:created xsi:type="dcterms:W3CDTF">2015-06-05T18:19:34Z</dcterms:created>
  <dcterms:modified xsi:type="dcterms:W3CDTF">2025-11-03T04:01:58Z</dcterms:modified>
</cp:coreProperties>
</file>