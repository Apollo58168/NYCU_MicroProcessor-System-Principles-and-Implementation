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llo\Desktop\NYCU\semester5\mpd\"/>
    </mc:Choice>
  </mc:AlternateContent>
  <xr:revisionPtr revIDLastSave="0" documentId="13_ncr:1_{245BB21D-5363-4FAB-A353-424B2B44AA12}" xr6:coauthVersionLast="47" xr6:coauthVersionMax="47" xr10:uidLastSave="{00000000-0000-0000-0000-000000000000}"/>
  <bookViews>
    <workbookView xWindow="1536" yWindow="2076" windowWidth="21504" windowHeight="11292" xr2:uid="{9AECCA80-06EA-4B1E-9D71-B6DA1D43310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1" l="1"/>
  <c r="M9" i="1"/>
  <c r="L9" i="1"/>
  <c r="G40" i="1"/>
  <c r="G45" i="1" s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H45" i="1"/>
  <c r="I45" i="1"/>
  <c r="J45" i="1"/>
  <c r="F40" i="1"/>
  <c r="F45" i="1" s="1"/>
  <c r="M3" i="1"/>
  <c r="L3" i="1"/>
  <c r="J7" i="1"/>
  <c r="J3" i="1"/>
  <c r="C45" i="1"/>
  <c r="D45" i="1"/>
  <c r="E45" i="1"/>
  <c r="B45" i="1"/>
  <c r="C40" i="1"/>
  <c r="D40" i="1"/>
  <c r="E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B41" i="1"/>
  <c r="B42" i="1"/>
  <c r="B43" i="1"/>
  <c r="B44" i="1"/>
  <c r="B40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C34" i="1"/>
  <c r="D34" i="1"/>
  <c r="E34" i="1"/>
  <c r="F34" i="1"/>
  <c r="B34" i="1"/>
  <c r="C33" i="1"/>
  <c r="D33" i="1"/>
  <c r="E33" i="1"/>
  <c r="F33" i="1"/>
  <c r="B33" i="1"/>
  <c r="E30" i="1"/>
  <c r="C29" i="1"/>
  <c r="D29" i="1"/>
  <c r="E29" i="1"/>
  <c r="F29" i="1"/>
  <c r="C30" i="1"/>
  <c r="D30" i="1"/>
  <c r="F30" i="1"/>
  <c r="B29" i="1"/>
  <c r="B30" i="1"/>
  <c r="D7" i="1"/>
  <c r="C27" i="1"/>
  <c r="D27" i="1"/>
  <c r="E27" i="1"/>
  <c r="F27" i="1"/>
  <c r="B27" i="1"/>
  <c r="B26" i="1"/>
  <c r="E7" i="1"/>
  <c r="C3" i="1"/>
  <c r="C26" i="1" s="1"/>
  <c r="H23" i="1"/>
  <c r="G23" i="1" s="1"/>
  <c r="B22" i="1"/>
  <c r="C22" i="1"/>
  <c r="D22" i="1"/>
  <c r="E22" i="1"/>
  <c r="F22" i="1"/>
  <c r="H2" i="1"/>
  <c r="I2" i="1" s="1"/>
  <c r="G22" i="1" s="1"/>
  <c r="G3" i="1"/>
  <c r="F3" i="1"/>
  <c r="F26" i="1" s="1"/>
  <c r="E3" i="1"/>
  <c r="E26" i="1" s="1"/>
  <c r="D3" i="1"/>
  <c r="D26" i="1" s="1"/>
</calcChain>
</file>

<file path=xl/sharedStrings.xml><?xml version="1.0" encoding="utf-8"?>
<sst xmlns="http://schemas.openxmlformats.org/spreadsheetml/2006/main" count="75" uniqueCount="30">
  <si>
    <t>function</t>
    <phoneticPr fontId="1" type="noConversion"/>
  </si>
  <si>
    <t>core_list_find()</t>
    <phoneticPr fontId="1" type="noConversion"/>
  </si>
  <si>
    <t>total</t>
    <phoneticPr fontId="1" type="noConversion"/>
  </si>
  <si>
    <t>compute</t>
    <phoneticPr fontId="1" type="noConversion"/>
  </si>
  <si>
    <t>memory</t>
    <phoneticPr fontId="1" type="noConversion"/>
  </si>
  <si>
    <t>memory issue</t>
    <phoneticPr fontId="1" type="noConversion"/>
  </si>
  <si>
    <t>memory wait</t>
    <phoneticPr fontId="1" type="noConversion"/>
  </si>
  <si>
    <t>stall total</t>
    <phoneticPr fontId="1" type="noConversion"/>
  </si>
  <si>
    <t>stall form DM</t>
    <phoneticPr fontId="1" type="noConversion"/>
  </si>
  <si>
    <t>stall form IF</t>
    <phoneticPr fontId="1" type="noConversion"/>
  </si>
  <si>
    <t>stall form HZ</t>
    <phoneticPr fontId="1" type="noConversion"/>
  </si>
  <si>
    <t>issue ALU</t>
    <phoneticPr fontId="1" type="noConversion"/>
  </si>
  <si>
    <t>issue Branch</t>
    <phoneticPr fontId="1" type="noConversion"/>
  </si>
  <si>
    <t>issue Jump</t>
    <phoneticPr fontId="1" type="noConversion"/>
  </si>
  <si>
    <t>issue Load</t>
    <phoneticPr fontId="1" type="noConversion"/>
  </si>
  <si>
    <t>issue Store</t>
    <phoneticPr fontId="1" type="noConversion"/>
  </si>
  <si>
    <t>core_list_reverse()</t>
    <phoneticPr fontId="1" type="noConversion"/>
  </si>
  <si>
    <t>core_state_transition()</t>
    <phoneticPr fontId="1" type="noConversion"/>
  </si>
  <si>
    <t>matrix_mul_matrix_bitextract()</t>
    <phoneticPr fontId="1" type="noConversion"/>
  </si>
  <si>
    <t>stall from EX</t>
    <phoneticPr fontId="1" type="noConversion"/>
  </si>
  <si>
    <t>crcu8()</t>
    <phoneticPr fontId="1" type="noConversion"/>
  </si>
  <si>
    <t>global</t>
    <phoneticPr fontId="1" type="noConversion"/>
  </si>
  <si>
    <t>load</t>
    <phoneticPr fontId="1" type="noConversion"/>
  </si>
  <si>
    <t>store</t>
    <phoneticPr fontId="1" type="noConversion"/>
  </si>
  <si>
    <t>others</t>
    <phoneticPr fontId="1" type="noConversion"/>
  </si>
  <si>
    <t>stall rate</t>
    <phoneticPr fontId="1" type="noConversion"/>
  </si>
  <si>
    <t>IPC</t>
    <phoneticPr fontId="1" type="noConversion"/>
  </si>
  <si>
    <t>mat_mul_mat…()</t>
    <phoneticPr fontId="1" type="noConversion"/>
  </si>
  <si>
    <t>mat_mul_mat…()_M</t>
    <phoneticPr fontId="1" type="noConversion"/>
  </si>
  <si>
    <t>Cycle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</si>
</sst>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0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3" fontId="2" fillId="2" borderId="0" xfId="0" applyNumberFormat="1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9CAF-D553-439B-8874-E45F7FBE0DF2}">
  <dimension ref="A1:M45"/>
  <sheetViews>
    <sheetView tabSelected="1" workbookViewId="0">
      <selection activeCell="L11" sqref="L11"/>
    </sheetView>
  </sheetViews>
  <sheetFormatPr defaultColWidth="9" defaultRowHeight="15.6" x14ac:dyDescent="0.3"/>
  <cols>
    <col min="1" max="1" width="15.21875" style="1" bestFit="1" customWidth="1"/>
    <col min="2" max="2" width="15.6640625" style="1" bestFit="1" customWidth="1"/>
    <col min="3" max="3" width="19.109375" style="1" bestFit="1" customWidth="1"/>
    <col min="4" max="4" width="23.88671875" style="1" bestFit="1" customWidth="1"/>
    <col min="5" max="5" width="32.33203125" style="1" bestFit="1" customWidth="1"/>
    <col min="6" max="6" width="16.77734375" style="1" bestFit="1" customWidth="1"/>
    <col min="7" max="7" width="17.21875" style="1" bestFit="1" customWidth="1"/>
    <col min="8" max="8" width="15" style="1" bestFit="1" customWidth="1"/>
    <col min="9" max="9" width="13.109375" style="1" bestFit="1" customWidth="1"/>
    <col min="10" max="10" width="32.33203125" style="1" bestFit="1" customWidth="1"/>
    <col min="11" max="11" width="14.88671875" style="1" bestFit="1" customWidth="1"/>
    <col min="12" max="13" width="32.33203125" style="1" bestFit="1" customWidth="1"/>
    <col min="14" max="16384" width="9" style="1"/>
  </cols>
  <sheetData>
    <row r="1" spans="1:13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20</v>
      </c>
      <c r="G1" s="1" t="s">
        <v>21</v>
      </c>
      <c r="J1" s="1" t="s">
        <v>18</v>
      </c>
      <c r="K1" s="1" t="s">
        <v>29</v>
      </c>
      <c r="L1" s="1" t="s">
        <v>27</v>
      </c>
      <c r="M1" s="1" t="s">
        <v>28</v>
      </c>
    </row>
    <row r="2" spans="1:13" x14ac:dyDescent="0.3">
      <c r="A2" s="1" t="s">
        <v>2</v>
      </c>
      <c r="B2" s="2">
        <v>204417198</v>
      </c>
      <c r="C2" s="2">
        <v>138564972</v>
      </c>
      <c r="D2" s="2">
        <v>276785502</v>
      </c>
      <c r="E2" s="2">
        <v>265959440</v>
      </c>
      <c r="F2" s="2">
        <v>139375834</v>
      </c>
      <c r="G2" s="2">
        <v>1476876563</v>
      </c>
      <c r="H2" s="2">
        <f>SUM(B2:F2)</f>
        <v>1025102946</v>
      </c>
      <c r="I2" s="2">
        <f>G2-H2</f>
        <v>451773617</v>
      </c>
      <c r="J2" s="2">
        <v>230438560</v>
      </c>
      <c r="K2" s="1" t="s">
        <v>2</v>
      </c>
      <c r="L2" s="2">
        <v>265959440</v>
      </c>
      <c r="M2" s="2">
        <v>230438560</v>
      </c>
    </row>
    <row r="3" spans="1:13" x14ac:dyDescent="0.3">
      <c r="A3" s="1" t="s">
        <v>3</v>
      </c>
      <c r="B3" s="2">
        <v>149929998</v>
      </c>
      <c r="C3" s="2">
        <f>C2-C4</f>
        <v>100498572</v>
      </c>
      <c r="D3" s="2">
        <f>D2-D4</f>
        <v>238918142</v>
      </c>
      <c r="E3" s="2">
        <f>E2-E4</f>
        <v>246789400</v>
      </c>
      <c r="F3" s="2">
        <f>F2-F4</f>
        <v>137559586</v>
      </c>
      <c r="G3" s="2">
        <f>G2-G4</f>
        <v>1059847115</v>
      </c>
      <c r="J3" s="2">
        <f>J2-J4</f>
        <v>211268520</v>
      </c>
      <c r="K3" s="1" t="s">
        <v>3</v>
      </c>
      <c r="L3" s="2">
        <f>L2-L4</f>
        <v>246789400</v>
      </c>
      <c r="M3" s="2">
        <f>M2-M4</f>
        <v>211268520</v>
      </c>
    </row>
    <row r="4" spans="1:13" x14ac:dyDescent="0.3">
      <c r="A4" s="1" t="s">
        <v>4</v>
      </c>
      <c r="B4" s="2">
        <v>54487200</v>
      </c>
      <c r="C4" s="2">
        <v>38066400</v>
      </c>
      <c r="D4" s="2">
        <v>37867360</v>
      </c>
      <c r="E4" s="2">
        <v>19170040</v>
      </c>
      <c r="F4" s="2">
        <v>1816248</v>
      </c>
      <c r="G4" s="2">
        <v>417029448</v>
      </c>
      <c r="J4" s="2">
        <v>19170040</v>
      </c>
      <c r="K4" s="1" t="s">
        <v>4</v>
      </c>
      <c r="L4" s="2">
        <v>19170040</v>
      </c>
      <c r="M4" s="2">
        <v>19170040</v>
      </c>
    </row>
    <row r="5" spans="1:13" x14ac:dyDescent="0.3">
      <c r="A5" s="1" t="s">
        <v>5</v>
      </c>
      <c r="B5" s="2">
        <v>54487200</v>
      </c>
      <c r="C5" s="2">
        <v>38066400</v>
      </c>
      <c r="D5" s="2">
        <v>37867360</v>
      </c>
      <c r="E5" s="2">
        <v>19170040</v>
      </c>
      <c r="F5" s="2">
        <v>1816248</v>
      </c>
      <c r="G5" s="2">
        <v>417029448</v>
      </c>
      <c r="J5" s="2">
        <v>19170040</v>
      </c>
      <c r="K5" s="1" t="s">
        <v>7</v>
      </c>
      <c r="L5" s="2">
        <v>143333680</v>
      </c>
      <c r="M5" s="2">
        <v>108178240</v>
      </c>
    </row>
    <row r="6" spans="1:13" x14ac:dyDescent="0.3">
      <c r="A6" s="1" t="s">
        <v>22</v>
      </c>
      <c r="B6" s="2">
        <v>54487200</v>
      </c>
      <c r="C6" s="2">
        <v>19033200</v>
      </c>
      <c r="D6" s="2">
        <v>27144080</v>
      </c>
      <c r="E6" s="2">
        <v>18149960</v>
      </c>
      <c r="F6" s="2">
        <v>1816248</v>
      </c>
      <c r="G6" s="2">
        <v>369449091</v>
      </c>
      <c r="J6" s="2">
        <v>18149960</v>
      </c>
      <c r="K6" s="1" t="s">
        <v>8</v>
      </c>
      <c r="L6" s="2">
        <v>19170040</v>
      </c>
      <c r="M6" s="2">
        <v>19170040</v>
      </c>
    </row>
    <row r="7" spans="1:13" x14ac:dyDescent="0.3">
      <c r="A7" s="1" t="s">
        <v>23</v>
      </c>
      <c r="B7" s="2">
        <v>0</v>
      </c>
      <c r="C7" s="2">
        <v>19033200</v>
      </c>
      <c r="D7" s="2">
        <f>D5-D6</f>
        <v>10723280</v>
      </c>
      <c r="E7" s="2">
        <f>E5-E6</f>
        <v>1020080</v>
      </c>
      <c r="F7" s="2">
        <v>0</v>
      </c>
      <c r="G7" s="2">
        <v>47580357</v>
      </c>
      <c r="J7" s="2">
        <f>J5-J6</f>
        <v>1020080</v>
      </c>
      <c r="K7" s="1" t="s">
        <v>19</v>
      </c>
      <c r="L7" s="2">
        <v>124163640</v>
      </c>
      <c r="M7" s="2">
        <v>89008200</v>
      </c>
    </row>
    <row r="8" spans="1:13" x14ac:dyDescent="0.3">
      <c r="B8" s="2"/>
    </row>
    <row r="9" spans="1:13" x14ac:dyDescent="0.3">
      <c r="A9" s="1" t="s">
        <v>7</v>
      </c>
      <c r="B9" s="2">
        <v>54487200</v>
      </c>
      <c r="C9" s="2">
        <v>38066400</v>
      </c>
      <c r="D9" s="2">
        <v>37867360</v>
      </c>
      <c r="E9" s="2">
        <v>143333680</v>
      </c>
      <c r="F9" s="2">
        <v>1816248</v>
      </c>
      <c r="J9" s="2">
        <v>108178240</v>
      </c>
      <c r="L9" s="1">
        <f>M7/L7%</f>
        <v>71.68620378719568</v>
      </c>
      <c r="M9" s="1">
        <f>M2/L2%</f>
        <v>86.644249213338696</v>
      </c>
    </row>
    <row r="10" spans="1:13" x14ac:dyDescent="0.3">
      <c r="A10" s="1" t="s">
        <v>8</v>
      </c>
      <c r="B10" s="2">
        <v>54487200</v>
      </c>
      <c r="C10" s="2">
        <v>38066400</v>
      </c>
      <c r="D10" s="2">
        <v>37867360</v>
      </c>
      <c r="E10" s="2">
        <v>19170040</v>
      </c>
      <c r="F10" s="2">
        <v>1816248</v>
      </c>
      <c r="J10" s="2">
        <v>19170040</v>
      </c>
      <c r="L10" s="1">
        <f>M3/L3</f>
        <v>0.85606804830353334</v>
      </c>
    </row>
    <row r="11" spans="1:13" x14ac:dyDescent="0.3">
      <c r="A11" s="1" t="s">
        <v>9</v>
      </c>
      <c r="B11" s="1">
        <v>0</v>
      </c>
      <c r="C11" s="2">
        <v>0</v>
      </c>
      <c r="D11" s="1">
        <v>0</v>
      </c>
      <c r="E11" s="2">
        <v>0</v>
      </c>
      <c r="F11" s="2">
        <v>0</v>
      </c>
      <c r="J11" s="2">
        <v>0</v>
      </c>
    </row>
    <row r="12" spans="1:13" x14ac:dyDescent="0.3">
      <c r="A12" s="1" t="s">
        <v>10</v>
      </c>
      <c r="B12" s="1">
        <v>0</v>
      </c>
      <c r="C12" s="2">
        <v>0</v>
      </c>
      <c r="D12" s="1">
        <v>0</v>
      </c>
      <c r="E12" s="2">
        <v>0</v>
      </c>
      <c r="F12" s="2">
        <v>0</v>
      </c>
      <c r="J12" s="2">
        <v>0</v>
      </c>
    </row>
    <row r="13" spans="1:13" x14ac:dyDescent="0.3">
      <c r="A13" s="1" t="s">
        <v>19</v>
      </c>
      <c r="B13" s="1">
        <v>0</v>
      </c>
      <c r="C13" s="2">
        <v>0</v>
      </c>
      <c r="D13" s="1">
        <v>0</v>
      </c>
      <c r="E13" s="2">
        <v>124163640</v>
      </c>
      <c r="F13" s="2">
        <v>0</v>
      </c>
      <c r="J13" s="2">
        <v>89008200</v>
      </c>
    </row>
    <row r="15" spans="1:13" x14ac:dyDescent="0.3">
      <c r="A15" s="1" t="s">
        <v>11</v>
      </c>
      <c r="B15" s="2">
        <v>351494</v>
      </c>
      <c r="C15" s="2">
        <v>76742360</v>
      </c>
      <c r="D15" s="2">
        <v>132038161</v>
      </c>
      <c r="E15" s="2">
        <v>232889240</v>
      </c>
      <c r="F15" s="2">
        <v>134402353</v>
      </c>
      <c r="J15" s="2">
        <v>197733800</v>
      </c>
    </row>
    <row r="16" spans="1:13" x14ac:dyDescent="0.3">
      <c r="A16" s="1" t="s">
        <v>12</v>
      </c>
      <c r="B16" s="2">
        <v>35024944</v>
      </c>
      <c r="C16" s="2">
        <v>18604380</v>
      </c>
      <c r="D16" s="2">
        <v>50590168</v>
      </c>
      <c r="E16" s="2">
        <v>9032872</v>
      </c>
      <c r="F16" s="2">
        <v>0</v>
      </c>
      <c r="J16" s="2">
        <v>9043880</v>
      </c>
    </row>
    <row r="17" spans="1:10" x14ac:dyDescent="0.3">
      <c r="A17" s="1" t="s">
        <v>13</v>
      </c>
      <c r="B17" s="2">
        <v>279900</v>
      </c>
      <c r="C17" s="2">
        <v>316964</v>
      </c>
      <c r="D17" s="2">
        <v>1912394</v>
      </c>
      <c r="E17" s="2">
        <v>982376</v>
      </c>
      <c r="F17" s="2">
        <v>0</v>
      </c>
      <c r="J17" s="2">
        <v>982760</v>
      </c>
    </row>
    <row r="18" spans="1:10" x14ac:dyDescent="0.3">
      <c r="A18" s="1" t="s">
        <v>14</v>
      </c>
      <c r="B18" s="2">
        <v>279900</v>
      </c>
      <c r="C18" s="2">
        <v>19033200</v>
      </c>
      <c r="D18" s="2">
        <v>16769120</v>
      </c>
      <c r="E18" s="2">
        <v>18149960</v>
      </c>
      <c r="F18" s="2">
        <v>1816248</v>
      </c>
      <c r="J18" s="2">
        <v>18149960</v>
      </c>
    </row>
    <row r="19" spans="1:10" x14ac:dyDescent="0.3">
      <c r="A19" s="1" t="s">
        <v>15</v>
      </c>
      <c r="B19" s="1">
        <v>0</v>
      </c>
      <c r="C19" s="2">
        <v>19033200</v>
      </c>
      <c r="D19" s="2">
        <v>7331744</v>
      </c>
      <c r="E19" s="2">
        <v>1020080</v>
      </c>
      <c r="F19" s="2">
        <v>0</v>
      </c>
      <c r="J19" s="2">
        <v>1020080</v>
      </c>
    </row>
    <row r="20" spans="1:10" s="3" customFormat="1" x14ac:dyDescent="0.3"/>
    <row r="21" spans="1:10" x14ac:dyDescent="0.3">
      <c r="A21" s="1" t="s">
        <v>0</v>
      </c>
      <c r="B21" s="1" t="s">
        <v>1</v>
      </c>
      <c r="C21" s="1" t="s">
        <v>16</v>
      </c>
      <c r="D21" s="1" t="s">
        <v>17</v>
      </c>
      <c r="E21" s="1" t="s">
        <v>18</v>
      </c>
      <c r="F21" s="1" t="s">
        <v>20</v>
      </c>
      <c r="G21" s="1" t="s">
        <v>24</v>
      </c>
    </row>
    <row r="22" spans="1:10" x14ac:dyDescent="0.3">
      <c r="A22" s="1" t="s">
        <v>2</v>
      </c>
      <c r="B22" s="4">
        <f>B2/$G$2%</f>
        <v>13.841183692749818</v>
      </c>
      <c r="C22" s="4">
        <f t="shared" ref="C22:F22" si="0">C2/$G$2%</f>
        <v>9.3822987967613916</v>
      </c>
      <c r="D22" s="4">
        <f t="shared" si="0"/>
        <v>18.741275265263994</v>
      </c>
      <c r="E22" s="4">
        <f t="shared" si="0"/>
        <v>18.008237564536394</v>
      </c>
      <c r="F22" s="4">
        <f t="shared" si="0"/>
        <v>9.4372026404755118</v>
      </c>
      <c r="G22" s="4">
        <f>I2/G2%</f>
        <v>30.589802040212888</v>
      </c>
      <c r="H22" s="4"/>
    </row>
    <row r="23" spans="1:10" x14ac:dyDescent="0.3">
      <c r="B23" s="5">
        <v>28.21</v>
      </c>
      <c r="C23" s="5">
        <v>19.04</v>
      </c>
      <c r="D23" s="5">
        <v>10.72</v>
      </c>
      <c r="E23" s="5">
        <v>8.74</v>
      </c>
      <c r="F23" s="5">
        <v>7.48</v>
      </c>
      <c r="G23" s="4">
        <f>100-H23</f>
        <v>25.810000000000002</v>
      </c>
      <c r="H23" s="1">
        <f>SUM(B23:F23)</f>
        <v>74.19</v>
      </c>
    </row>
    <row r="24" spans="1:10" s="3" customFormat="1" x14ac:dyDescent="0.3">
      <c r="B24" s="6"/>
      <c r="C24" s="6"/>
      <c r="D24" s="6"/>
      <c r="E24" s="6"/>
      <c r="F24" s="6"/>
    </row>
    <row r="25" spans="1:10" x14ac:dyDescent="0.3">
      <c r="A25" s="1" t="s">
        <v>0</v>
      </c>
      <c r="B25" s="1" t="s">
        <v>1</v>
      </c>
      <c r="C25" s="1" t="s">
        <v>16</v>
      </c>
      <c r="D25" s="1" t="s">
        <v>17</v>
      </c>
      <c r="E25" s="1" t="s">
        <v>18</v>
      </c>
      <c r="F25" s="1" t="s">
        <v>20</v>
      </c>
    </row>
    <row r="26" spans="1:10" x14ac:dyDescent="0.3">
      <c r="A26" s="1" t="s">
        <v>3</v>
      </c>
      <c r="B26" s="4">
        <f>B3/B$2 %</f>
        <v>73.345099857987492</v>
      </c>
      <c r="C26" s="4">
        <f t="shared" ref="C26:F26" si="1">C3/C$2 %</f>
        <v>72.528122042271988</v>
      </c>
      <c r="D26" s="4">
        <f t="shared" si="1"/>
        <v>86.318878797343942</v>
      </c>
      <c r="E26" s="4">
        <f t="shared" si="1"/>
        <v>92.792118978743531</v>
      </c>
      <c r="F26" s="4">
        <f t="shared" si="1"/>
        <v>98.696870219266273</v>
      </c>
    </row>
    <row r="27" spans="1:10" x14ac:dyDescent="0.3">
      <c r="A27" s="1" t="s">
        <v>5</v>
      </c>
      <c r="B27" s="4">
        <f>B4/B$2 %</f>
        <v>26.654900142012512</v>
      </c>
      <c r="C27" s="4">
        <f t="shared" ref="C27:F27" si="2">C4/C$2 %</f>
        <v>27.471877957728019</v>
      </c>
      <c r="D27" s="4">
        <f t="shared" si="2"/>
        <v>13.681121202656055</v>
      </c>
      <c r="E27" s="4">
        <f t="shared" si="2"/>
        <v>7.2078810212564743</v>
      </c>
      <c r="F27" s="4">
        <f t="shared" si="2"/>
        <v>1.3031297807337245</v>
      </c>
    </row>
    <row r="28" spans="1:10" x14ac:dyDescent="0.3">
      <c r="A28" s="1" t="s">
        <v>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10" x14ac:dyDescent="0.3">
      <c r="A29" s="1" t="s">
        <v>22</v>
      </c>
      <c r="B29" s="4">
        <f t="shared" ref="B29:F30" si="3">B6/B$2 %</f>
        <v>26.654900142012512</v>
      </c>
      <c r="C29" s="4">
        <f t="shared" si="3"/>
        <v>13.735938978864009</v>
      </c>
      <c r="D29" s="4">
        <f t="shared" si="3"/>
        <v>9.8069009409315093</v>
      </c>
      <c r="E29" s="4">
        <f t="shared" si="3"/>
        <v>6.8243338157126514</v>
      </c>
      <c r="F29" s="4">
        <f t="shared" si="3"/>
        <v>1.3031297807337245</v>
      </c>
    </row>
    <row r="30" spans="1:10" x14ac:dyDescent="0.3">
      <c r="A30" s="1" t="s">
        <v>23</v>
      </c>
      <c r="B30" s="4">
        <f t="shared" si="3"/>
        <v>0</v>
      </c>
      <c r="C30" s="4">
        <f t="shared" si="3"/>
        <v>13.735938978864009</v>
      </c>
      <c r="D30" s="4">
        <f t="shared" si="3"/>
        <v>3.8742202617245467</v>
      </c>
      <c r="E30" s="4">
        <f>E7/E$2 %</f>
        <v>0.38354720554382277</v>
      </c>
      <c r="F30" s="4">
        <f t="shared" si="3"/>
        <v>0</v>
      </c>
    </row>
    <row r="31" spans="1:10" s="3" customFormat="1" x14ac:dyDescent="0.3">
      <c r="C31" s="6"/>
      <c r="E31" s="6"/>
      <c r="F31" s="6"/>
    </row>
    <row r="32" spans="1:10" x14ac:dyDescent="0.3">
      <c r="A32" s="1" t="s">
        <v>0</v>
      </c>
      <c r="B32" s="1" t="s">
        <v>1</v>
      </c>
      <c r="C32" s="1" t="s">
        <v>16</v>
      </c>
      <c r="D32" s="1" t="s">
        <v>17</v>
      </c>
      <c r="E32" s="1" t="s">
        <v>18</v>
      </c>
      <c r="F32" s="1" t="s">
        <v>20</v>
      </c>
    </row>
    <row r="33" spans="1:10" x14ac:dyDescent="0.3">
      <c r="A33" s="1" t="s">
        <v>25</v>
      </c>
      <c r="B33" s="4">
        <f>B9/B$2 %</f>
        <v>26.654900142012512</v>
      </c>
      <c r="C33" s="4">
        <f t="shared" ref="C33:F33" si="4">C9/C$2 %</f>
        <v>27.471877957728019</v>
      </c>
      <c r="D33" s="4">
        <f t="shared" si="4"/>
        <v>13.681121202656055</v>
      </c>
      <c r="E33" s="4">
        <f t="shared" si="4"/>
        <v>53.893059783852756</v>
      </c>
      <c r="F33" s="4">
        <f t="shared" si="4"/>
        <v>1.3031297807337245</v>
      </c>
    </row>
    <row r="34" spans="1:10" x14ac:dyDescent="0.3">
      <c r="A34" s="1" t="s">
        <v>8</v>
      </c>
      <c r="B34" s="4">
        <f>B10/B$9 %</f>
        <v>100</v>
      </c>
      <c r="C34" s="4">
        <f t="shared" ref="C34:F34" si="5">C10/C$9 %</f>
        <v>100</v>
      </c>
      <c r="D34" s="4">
        <f t="shared" si="5"/>
        <v>100</v>
      </c>
      <c r="E34" s="4">
        <f t="shared" si="5"/>
        <v>13.374414164207602</v>
      </c>
      <c r="F34" s="4">
        <f t="shared" si="5"/>
        <v>100</v>
      </c>
    </row>
    <row r="35" spans="1:10" x14ac:dyDescent="0.3">
      <c r="A35" s="1" t="s">
        <v>9</v>
      </c>
      <c r="B35" s="4">
        <f t="shared" ref="B35:F35" si="6">B11/B$9 %</f>
        <v>0</v>
      </c>
      <c r="C35" s="4">
        <f t="shared" si="6"/>
        <v>0</v>
      </c>
      <c r="D35" s="4">
        <f t="shared" si="6"/>
        <v>0</v>
      </c>
      <c r="E35" s="4">
        <f t="shared" si="6"/>
        <v>0</v>
      </c>
      <c r="F35" s="4">
        <f t="shared" si="6"/>
        <v>0</v>
      </c>
    </row>
    <row r="36" spans="1:10" x14ac:dyDescent="0.3">
      <c r="A36" s="1" t="s">
        <v>10</v>
      </c>
      <c r="B36" s="4">
        <f t="shared" ref="B36:F36" si="7">B12/B$9 %</f>
        <v>0</v>
      </c>
      <c r="C36" s="4">
        <f t="shared" si="7"/>
        <v>0</v>
      </c>
      <c r="D36" s="4">
        <f t="shared" si="7"/>
        <v>0</v>
      </c>
      <c r="E36" s="4">
        <f t="shared" si="7"/>
        <v>0</v>
      </c>
      <c r="F36" s="4">
        <f t="shared" si="7"/>
        <v>0</v>
      </c>
    </row>
    <row r="37" spans="1:10" x14ac:dyDescent="0.3">
      <c r="A37" s="1" t="s">
        <v>19</v>
      </c>
      <c r="B37" s="4">
        <f t="shared" ref="B37:F37" si="8">B13/B$9 %</f>
        <v>0</v>
      </c>
      <c r="C37" s="4">
        <f t="shared" si="8"/>
        <v>0</v>
      </c>
      <c r="D37" s="4">
        <f t="shared" si="8"/>
        <v>0</v>
      </c>
      <c r="E37" s="4">
        <f t="shared" si="8"/>
        <v>86.625585835792393</v>
      </c>
      <c r="F37" s="4">
        <f t="shared" si="8"/>
        <v>0</v>
      </c>
    </row>
    <row r="38" spans="1:10" s="3" customFormat="1" x14ac:dyDescent="0.3">
      <c r="C38" s="6"/>
      <c r="D38" s="6"/>
      <c r="E38" s="6"/>
      <c r="F38" s="6"/>
    </row>
    <row r="39" spans="1:10" x14ac:dyDescent="0.3">
      <c r="A39" s="1" t="s">
        <v>0</v>
      </c>
      <c r="B39" s="1" t="s">
        <v>1</v>
      </c>
      <c r="C39" s="1" t="s">
        <v>16</v>
      </c>
      <c r="D39" s="1" t="s">
        <v>17</v>
      </c>
      <c r="E39" s="1" t="s">
        <v>18</v>
      </c>
      <c r="F39" s="1" t="s">
        <v>20</v>
      </c>
    </row>
    <row r="40" spans="1:10" x14ac:dyDescent="0.3">
      <c r="A40" s="1" t="s">
        <v>11</v>
      </c>
      <c r="B40" s="1">
        <f>B15/B$2 %</f>
        <v>0.171949328842674</v>
      </c>
      <c r="C40" s="1">
        <f t="shared" ref="C40:E40" si="9">C15/C$2 %</f>
        <v>55.383665072295472</v>
      </c>
      <c r="D40" s="1">
        <f t="shared" si="9"/>
        <v>47.704146368186585</v>
      </c>
      <c r="E40" s="1">
        <f t="shared" si="9"/>
        <v>87.565697987633001</v>
      </c>
      <c r="F40" s="1">
        <f>F15/F$2 %</f>
        <v>96.431604491780107</v>
      </c>
      <c r="G40" s="1">
        <f t="shared" ref="G40:J40" si="10">G15/G$2 %</f>
        <v>0</v>
      </c>
      <c r="H40" s="1">
        <f t="shared" si="10"/>
        <v>0</v>
      </c>
      <c r="I40" s="1">
        <f t="shared" si="10"/>
        <v>0</v>
      </c>
      <c r="J40" s="1">
        <f t="shared" si="10"/>
        <v>85.807600950118768</v>
      </c>
    </row>
    <row r="41" spans="1:10" x14ac:dyDescent="0.3">
      <c r="A41" s="1" t="s">
        <v>12</v>
      </c>
      <c r="B41" s="1">
        <f t="shared" ref="B41:F44" si="11">B16/B$2 %</f>
        <v>17.134049552914821</v>
      </c>
      <c r="C41" s="1">
        <f t="shared" si="11"/>
        <v>13.426466827417249</v>
      </c>
      <c r="D41" s="1">
        <f t="shared" si="11"/>
        <v>18.277752134575316</v>
      </c>
      <c r="E41" s="1">
        <f t="shared" si="11"/>
        <v>3.396334418511334</v>
      </c>
      <c r="F41" s="1">
        <f t="shared" si="11"/>
        <v>0</v>
      </c>
      <c r="G41" s="1">
        <f t="shared" ref="G41:J41" si="12">G16/G$2 %</f>
        <v>0</v>
      </c>
      <c r="H41" s="1">
        <f t="shared" si="12"/>
        <v>0</v>
      </c>
      <c r="I41" s="1">
        <f t="shared" si="12"/>
        <v>0</v>
      </c>
      <c r="J41" s="1">
        <f t="shared" si="12"/>
        <v>3.9246383070611097</v>
      </c>
    </row>
    <row r="42" spans="1:10" x14ac:dyDescent="0.3">
      <c r="A42" s="1" t="s">
        <v>13</v>
      </c>
      <c r="B42" s="1">
        <f t="shared" si="11"/>
        <v>0.13692585689389988</v>
      </c>
      <c r="C42" s="1">
        <f t="shared" si="11"/>
        <v>0.22874756543811087</v>
      </c>
      <c r="D42" s="1">
        <f t="shared" si="11"/>
        <v>0.69092997508229315</v>
      </c>
      <c r="E42" s="1">
        <f t="shared" si="11"/>
        <v>0.369370607788917</v>
      </c>
      <c r="F42" s="1">
        <f t="shared" si="11"/>
        <v>0</v>
      </c>
      <c r="G42" s="1">
        <f t="shared" ref="G42:J42" si="13">G17/G$2 %</f>
        <v>0</v>
      </c>
      <c r="H42" s="1">
        <f t="shared" si="13"/>
        <v>0</v>
      </c>
      <c r="I42" s="1">
        <f t="shared" si="13"/>
        <v>0</v>
      </c>
      <c r="J42" s="1">
        <f t="shared" si="13"/>
        <v>0.42647376376592527</v>
      </c>
    </row>
    <row r="43" spans="1:10" x14ac:dyDescent="0.3">
      <c r="A43" s="1" t="s">
        <v>14</v>
      </c>
      <c r="B43" s="1">
        <f t="shared" si="11"/>
        <v>0.13692585689389988</v>
      </c>
      <c r="C43" s="1">
        <f t="shared" si="11"/>
        <v>13.735938978864009</v>
      </c>
      <c r="D43" s="1">
        <f t="shared" si="11"/>
        <v>6.0585254208871095</v>
      </c>
      <c r="E43" s="1">
        <f t="shared" si="11"/>
        <v>6.8243338157126514</v>
      </c>
      <c r="F43" s="1">
        <f t="shared" si="11"/>
        <v>1.3031297807337245</v>
      </c>
      <c r="G43" s="1">
        <f t="shared" ref="G43:J43" si="14">G18/G$2 %</f>
        <v>0</v>
      </c>
      <c r="H43" s="1">
        <f t="shared" si="14"/>
        <v>0</v>
      </c>
      <c r="I43" s="1">
        <f t="shared" si="14"/>
        <v>0</v>
      </c>
      <c r="J43" s="1">
        <f t="shared" si="14"/>
        <v>7.8762686244871514</v>
      </c>
    </row>
    <row r="44" spans="1:10" x14ac:dyDescent="0.3">
      <c r="A44" s="1" t="s">
        <v>15</v>
      </c>
      <c r="B44" s="1">
        <f t="shared" si="11"/>
        <v>0</v>
      </c>
      <c r="C44" s="1">
        <f t="shared" si="11"/>
        <v>13.735938978864009</v>
      </c>
      <c r="D44" s="1">
        <f t="shared" si="11"/>
        <v>2.6488901864520344</v>
      </c>
      <c r="E44" s="1">
        <f t="shared" si="11"/>
        <v>0.38354720554382277</v>
      </c>
      <c r="F44" s="1">
        <f t="shared" si="11"/>
        <v>0</v>
      </c>
      <c r="G44" s="1">
        <f t="shared" ref="G44:J44" si="15">G19/G$2 %</f>
        <v>0</v>
      </c>
      <c r="H44" s="1">
        <f t="shared" si="15"/>
        <v>0</v>
      </c>
      <c r="I44" s="1">
        <f t="shared" si="15"/>
        <v>0</v>
      </c>
      <c r="J44" s="1">
        <f t="shared" si="15"/>
        <v>0.44266896998488448</v>
      </c>
    </row>
    <row r="45" spans="1:10" x14ac:dyDescent="0.3">
      <c r="A45" s="1" t="s">
        <v>26</v>
      </c>
      <c r="B45" s="1">
        <f>SUM(B40:B44) / 100</f>
        <v>0.17579850595545296</v>
      </c>
      <c r="C45" s="1">
        <f t="shared" ref="C45:F45" si="16">SUM(C40:C44) / 100</f>
        <v>0.96510757422878857</v>
      </c>
      <c r="D45" s="1">
        <f t="shared" si="16"/>
        <v>0.75380244085183346</v>
      </c>
      <c r="E45" s="1">
        <f t="shared" si="16"/>
        <v>0.98539284035189723</v>
      </c>
      <c r="F45" s="1">
        <f t="shared" si="16"/>
        <v>0.97734734272513835</v>
      </c>
      <c r="G45" s="1">
        <f t="shared" ref="G45" si="17">SUM(G40:G44) / 100</f>
        <v>0</v>
      </c>
      <c r="H45" s="1">
        <f t="shared" ref="H45" si="18">SUM(H40:H44) / 100</f>
        <v>0</v>
      </c>
      <c r="I45" s="1">
        <f t="shared" ref="I45" si="19">SUM(I40:I44) / 100</f>
        <v>0</v>
      </c>
      <c r="J45" s="1">
        <f t="shared" ref="J45" si="20">SUM(J40:J44) / 100</f>
        <v>0.98477650615417844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彥宇 林</dc:creator>
  <cp:lastModifiedBy>彥宇 林</cp:lastModifiedBy>
  <dcterms:created xsi:type="dcterms:W3CDTF">2025-10-02T06:18:03Z</dcterms:created>
  <dcterms:modified xsi:type="dcterms:W3CDTF">2025-10-16T17:34:24Z</dcterms:modified>
</cp:coreProperties>
</file>