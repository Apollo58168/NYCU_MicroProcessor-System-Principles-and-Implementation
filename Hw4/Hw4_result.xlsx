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pollo\Desktop\NYCU\semester5\mpd\Hw4\"/>
    </mc:Choice>
  </mc:AlternateContent>
  <xr:revisionPtr revIDLastSave="0" documentId="8_{5B77D87A-DCC6-4AAF-8544-B4D03DC32F91}" xr6:coauthVersionLast="47" xr6:coauthVersionMax="47" xr10:uidLastSave="{00000000-0000-0000-0000-000000000000}"/>
  <bookViews>
    <workbookView xWindow="-135" yWindow="-135" windowWidth="38670" windowHeight="21150" xr2:uid="{00000000-000D-0000-FFFF-FFFF00000000}"/>
  </bookViews>
  <sheets>
    <sheet name="工作表1" sheetId="1" r:id="rId1"/>
    <sheet name="report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3" i="1" l="1"/>
  <c r="D83" i="1"/>
  <c r="C83" i="1"/>
  <c r="B83" i="1"/>
  <c r="K68" i="1"/>
  <c r="C80" i="1"/>
  <c r="D80" i="1"/>
  <c r="E80" i="1"/>
  <c r="B80" i="1"/>
  <c r="S55" i="1"/>
  <c r="S56" i="1" s="1"/>
  <c r="T55" i="1"/>
  <c r="Y33" i="2"/>
  <c r="Y34" i="2"/>
  <c r="Y35" i="2"/>
  <c r="Z33" i="2"/>
  <c r="AA33" i="2"/>
  <c r="AB33" i="2"/>
  <c r="Z34" i="2"/>
  <c r="AA34" i="2"/>
  <c r="AB34" i="2"/>
  <c r="Z35" i="2"/>
  <c r="AA35" i="2"/>
  <c r="AB35" i="2"/>
  <c r="X35" i="2"/>
  <c r="X34" i="2"/>
  <c r="X33" i="2"/>
  <c r="B43" i="2"/>
  <c r="C41" i="2"/>
  <c r="C43" i="2" s="1"/>
  <c r="D41" i="2"/>
  <c r="D43" i="2" s="1"/>
  <c r="E41" i="2"/>
  <c r="E43" i="2" s="1"/>
  <c r="F41" i="2"/>
  <c r="F43" i="2" s="1"/>
  <c r="G41" i="2"/>
  <c r="G43" i="2" s="1"/>
  <c r="H41" i="2"/>
  <c r="H43" i="2" s="1"/>
  <c r="I41" i="2"/>
  <c r="I43" i="2" s="1"/>
  <c r="J41" i="2"/>
  <c r="J43" i="2" s="1"/>
  <c r="K41" i="2"/>
  <c r="K43" i="2" s="1"/>
  <c r="C42" i="2"/>
  <c r="D42" i="2"/>
  <c r="E42" i="2"/>
  <c r="F42" i="2"/>
  <c r="G42" i="2"/>
  <c r="H42" i="2"/>
  <c r="I42" i="2"/>
  <c r="J42" i="2"/>
  <c r="K42" i="2"/>
  <c r="B42" i="2"/>
  <c r="B41" i="2"/>
  <c r="U12" i="2"/>
  <c r="T12" i="2"/>
  <c r="S12" i="2"/>
  <c r="R12" i="2"/>
  <c r="Q12" i="2"/>
  <c r="U6" i="2"/>
  <c r="T6" i="2"/>
  <c r="S6" i="2"/>
  <c r="R6" i="2"/>
  <c r="Q6" i="2"/>
  <c r="U43" i="2"/>
  <c r="T43" i="2"/>
  <c r="S43" i="2"/>
  <c r="R43" i="2"/>
  <c r="Q43" i="2"/>
  <c r="U42" i="2"/>
  <c r="T42" i="2"/>
  <c r="S42" i="2"/>
  <c r="R42" i="2"/>
  <c r="Q42" i="2"/>
  <c r="U41" i="2"/>
  <c r="T41" i="2"/>
  <c r="S41" i="2"/>
  <c r="R41" i="2"/>
  <c r="Q41" i="2"/>
  <c r="K28" i="2"/>
  <c r="J28" i="2"/>
  <c r="I28" i="2"/>
  <c r="H28" i="2"/>
  <c r="G28" i="2"/>
  <c r="F28" i="2"/>
  <c r="E28" i="2"/>
  <c r="D28" i="2"/>
  <c r="C28" i="2"/>
  <c r="B28" i="2"/>
  <c r="K12" i="2"/>
  <c r="J12" i="2"/>
  <c r="I12" i="2"/>
  <c r="H12" i="2"/>
  <c r="G12" i="2"/>
  <c r="F12" i="2"/>
  <c r="E12" i="2"/>
  <c r="D12" i="2"/>
  <c r="C12" i="2"/>
  <c r="B12" i="2"/>
  <c r="K6" i="2"/>
  <c r="J6" i="2"/>
  <c r="I6" i="2"/>
  <c r="H6" i="2"/>
  <c r="G6" i="2"/>
  <c r="F6" i="2"/>
  <c r="E6" i="2"/>
  <c r="D6" i="2"/>
  <c r="C6" i="2"/>
  <c r="B6" i="2"/>
  <c r="C45" i="1"/>
  <c r="G46" i="2"/>
  <c r="H46" i="2"/>
  <c r="I46" i="2"/>
  <c r="J46" i="2"/>
  <c r="K46" i="2"/>
  <c r="F46" i="2"/>
  <c r="B46" i="2"/>
  <c r="C46" i="2"/>
  <c r="D46" i="2"/>
  <c r="W32" i="1"/>
  <c r="N12" i="1"/>
  <c r="O12" i="1"/>
  <c r="P12" i="1"/>
  <c r="Q12" i="1"/>
  <c r="R12" i="1"/>
  <c r="S12" i="1"/>
  <c r="T12" i="1"/>
  <c r="U12" i="1"/>
  <c r="V12" i="1"/>
  <c r="W12" i="1"/>
  <c r="N6" i="1"/>
  <c r="O6" i="1"/>
  <c r="P6" i="1"/>
  <c r="Q6" i="1"/>
  <c r="R6" i="1"/>
  <c r="S6" i="1"/>
  <c r="T6" i="1"/>
  <c r="U6" i="1"/>
  <c r="V6" i="1"/>
  <c r="W6" i="1"/>
  <c r="O32" i="1"/>
  <c r="P32" i="1"/>
  <c r="Q32" i="1"/>
  <c r="R32" i="1"/>
  <c r="S32" i="1"/>
  <c r="T32" i="1"/>
  <c r="U32" i="1"/>
  <c r="V32" i="1"/>
  <c r="N32" i="1"/>
  <c r="K32" i="1"/>
  <c r="K12" i="1"/>
  <c r="K6" i="1"/>
  <c r="J32" i="1"/>
  <c r="J6" i="1"/>
  <c r="J12" i="1"/>
  <c r="I6" i="1"/>
  <c r="I12" i="1"/>
  <c r="I32" i="1"/>
  <c r="Q46" i="2"/>
  <c r="U27" i="2"/>
  <c r="T27" i="2"/>
  <c r="S27" i="2"/>
  <c r="R27" i="2"/>
  <c r="Q27" i="2"/>
  <c r="U46" i="2"/>
  <c r="T46" i="2"/>
  <c r="R46" i="2"/>
  <c r="B41" i="1"/>
  <c r="B45" i="1"/>
  <c r="B47" i="1"/>
  <c r="F41" i="1"/>
  <c r="F45" i="1"/>
  <c r="F47" i="1"/>
  <c r="E41" i="1"/>
  <c r="E45" i="1"/>
  <c r="E47" i="1"/>
  <c r="C47" i="1"/>
  <c r="C41" i="1"/>
  <c r="D47" i="1"/>
  <c r="D45" i="1"/>
  <c r="D41" i="1"/>
  <c r="B32" i="1"/>
  <c r="C32" i="1"/>
  <c r="D32" i="1"/>
  <c r="F32" i="1"/>
  <c r="G32" i="1"/>
  <c r="H32" i="1"/>
  <c r="E32" i="1"/>
  <c r="B12" i="1"/>
  <c r="C12" i="1"/>
  <c r="D12" i="1"/>
  <c r="F12" i="1"/>
  <c r="G12" i="1"/>
  <c r="H12" i="1"/>
  <c r="B6" i="1"/>
  <c r="C6" i="1"/>
  <c r="D6" i="1"/>
  <c r="F6" i="1"/>
  <c r="G6" i="1"/>
  <c r="H6" i="1"/>
  <c r="E12" i="1"/>
  <c r="E6" i="1"/>
</calcChain>
</file>

<file path=xl/sharedStrings.xml><?xml version="1.0" encoding="utf-8"?>
<sst xmlns="http://schemas.openxmlformats.org/spreadsheetml/2006/main" count="216" uniqueCount="55">
  <si>
    <t>N = 128</t>
    <phoneticPr fontId="1" type="noConversion"/>
  </si>
  <si>
    <t>thread = 4</t>
    <phoneticPr fontId="1" type="noConversion"/>
  </si>
  <si>
    <t>total_cycle</t>
    <phoneticPr fontId="1" type="noConversion"/>
  </si>
  <si>
    <t>timer_cs_count</t>
    <phoneticPr fontId="1" type="noConversion"/>
  </si>
  <si>
    <t>ecall_cs_count</t>
    <phoneticPr fontId="1" type="noConversion"/>
  </si>
  <si>
    <t>timer_cs_accmu</t>
    <phoneticPr fontId="1" type="noConversion"/>
  </si>
  <si>
    <t>timer_cs_max</t>
    <phoneticPr fontId="1" type="noConversion"/>
  </si>
  <si>
    <t>timer_cs_min</t>
    <phoneticPr fontId="1" type="noConversion"/>
  </si>
  <si>
    <t>timer_cs_avg</t>
    <phoneticPr fontId="1" type="noConversion"/>
  </si>
  <si>
    <t>ecall_cs_accmu</t>
    <phoneticPr fontId="1" type="noConversion"/>
  </si>
  <si>
    <t>ecall_cs_avg</t>
    <phoneticPr fontId="1" type="noConversion"/>
  </si>
  <si>
    <t>ecall_cs_max</t>
    <phoneticPr fontId="1" type="noConversion"/>
  </si>
  <si>
    <t>ecall_cs_min</t>
    <phoneticPr fontId="1" type="noConversion"/>
  </si>
  <si>
    <t>tick</t>
    <phoneticPr fontId="1" type="noConversion"/>
  </si>
  <si>
    <t>ecall/total cycle (%)</t>
    <phoneticPr fontId="1" type="noConversion"/>
  </si>
  <si>
    <t>Dcache = 4KB</t>
    <phoneticPr fontId="1" type="noConversion"/>
  </si>
  <si>
    <t>time_quantum (ms)</t>
    <phoneticPr fontId="1" type="noConversion"/>
  </si>
  <si>
    <t>total_cycle (%)</t>
    <phoneticPr fontId="1" type="noConversion"/>
  </si>
  <si>
    <t>100 (601662699)</t>
    <phoneticPr fontId="1" type="noConversion"/>
  </si>
  <si>
    <t>time_quantum = 10ms</t>
    <phoneticPr fontId="1" type="noConversion"/>
  </si>
  <si>
    <t>total_read</t>
    <phoneticPr fontId="1" type="noConversion"/>
  </si>
  <si>
    <t>read_hit</t>
    <phoneticPr fontId="1" type="noConversion"/>
  </si>
  <si>
    <t>read_miss</t>
    <phoneticPr fontId="1" type="noConversion"/>
  </si>
  <si>
    <t>total_write</t>
    <phoneticPr fontId="1" type="noConversion"/>
  </si>
  <si>
    <t>write_hit</t>
    <phoneticPr fontId="1" type="noConversion"/>
  </si>
  <si>
    <t>write_miss</t>
    <phoneticPr fontId="1" type="noConversion"/>
  </si>
  <si>
    <t>thread</t>
    <phoneticPr fontId="1" type="noConversion"/>
  </si>
  <si>
    <t>total miss(%)</t>
    <phoneticPr fontId="1" type="noConversion"/>
  </si>
  <si>
    <t>read miss(%)</t>
    <phoneticPr fontId="1" type="noConversion"/>
  </si>
  <si>
    <t>write miss(%)</t>
    <phoneticPr fontId="1" type="noConversion"/>
  </si>
  <si>
    <t>100(601662699)</t>
    <phoneticPr fontId="1" type="noConversion"/>
  </si>
  <si>
    <t>total_cycle(%)</t>
    <phoneticPr fontId="1" type="noConversion"/>
  </si>
  <si>
    <t>timer_cs_avg(cyc)</t>
    <phoneticPr fontId="1" type="noConversion"/>
  </si>
  <si>
    <t>ecall_cs_avg(cyc)</t>
    <phoneticPr fontId="1" type="noConversion"/>
  </si>
  <si>
    <t>print debug</t>
    <phoneticPr fontId="1" type="noConversion"/>
  </si>
  <si>
    <t>noprint debug</t>
    <phoneticPr fontId="1" type="noConversion"/>
  </si>
  <si>
    <t>N_size</t>
    <phoneticPr fontId="1" type="noConversion"/>
  </si>
  <si>
    <t>lat_read_miss</t>
    <phoneticPr fontId="1" type="noConversion"/>
  </si>
  <si>
    <t>lat_write_miss</t>
    <phoneticPr fontId="1" type="noConversion"/>
  </si>
  <si>
    <t>lat_miss</t>
    <phoneticPr fontId="1" type="noConversion"/>
  </si>
  <si>
    <t>cs_read_miss</t>
    <phoneticPr fontId="1" type="noConversion"/>
  </si>
  <si>
    <t>cs_write_miss</t>
    <phoneticPr fontId="1" type="noConversion"/>
  </si>
  <si>
    <t>cs_read_hit</t>
    <phoneticPr fontId="1" type="noConversion"/>
  </si>
  <si>
    <t>cs_write_hit</t>
    <phoneticPr fontId="1" type="noConversion"/>
  </si>
  <si>
    <t>timer_cs_pnlty(miss/cs)</t>
    <phoneticPr fontId="1" type="noConversion"/>
  </si>
  <si>
    <t>timer_cs_read_miss</t>
    <phoneticPr fontId="1" type="noConversion"/>
  </si>
  <si>
    <t>timer_cs_write_miss</t>
    <phoneticPr fontId="1" type="noConversion"/>
  </si>
  <si>
    <t>give</t>
    <phoneticPr fontId="1" type="noConversion"/>
  </si>
  <si>
    <t>Cycle</t>
    <phoneticPr fontId="1" type="noConversion"/>
  </si>
  <si>
    <t>Sem_take()</t>
    <phoneticPr fontId="1" type="noConversion"/>
  </si>
  <si>
    <t>Sem_give()</t>
    <phoneticPr fontId="1" type="noConversion"/>
  </si>
  <si>
    <t>Crit_Enter()</t>
    <phoneticPr fontId="1" type="noConversion"/>
  </si>
  <si>
    <t>Crit_Exit()</t>
    <phoneticPr fontId="1" type="noConversion"/>
  </si>
  <si>
    <t>avg(cyc)</t>
    <phoneticPr fontId="1" type="noConversion"/>
  </si>
  <si>
    <t>Count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</si>
</sst>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6"/>
  <sheetViews>
    <sheetView tabSelected="1" topLeftCell="A59" workbookViewId="0">
      <selection activeCell="A77" sqref="A77:E80"/>
    </sheetView>
  </sheetViews>
  <sheetFormatPr defaultColWidth="9.125" defaultRowHeight="13.8" x14ac:dyDescent="0.25"/>
  <cols>
    <col min="1" max="1" width="19.75" style="2" bestFit="1" customWidth="1"/>
    <col min="2" max="2" width="14" style="2" bestFit="1" customWidth="1"/>
    <col min="3" max="3" width="12.25" style="2" bestFit="1" customWidth="1"/>
    <col min="4" max="5" width="21.625" style="2" bestFit="1" customWidth="1"/>
    <col min="6" max="8" width="10.75" style="2" bestFit="1" customWidth="1"/>
    <col min="9" max="9" width="10.75" style="5" bestFit="1" customWidth="1"/>
    <col min="10" max="10" width="19.625" style="5" bestFit="1" customWidth="1"/>
    <col min="11" max="11" width="15" style="1" customWidth="1"/>
    <col min="12" max="12" width="13" style="1" bestFit="1" customWidth="1"/>
    <col min="13" max="13" width="19.625" style="2" bestFit="1" customWidth="1"/>
    <col min="14" max="14" width="15.125" style="2" bestFit="1" customWidth="1"/>
    <col min="15" max="23" width="13" style="2" bestFit="1" customWidth="1"/>
    <col min="24" max="16384" width="9.125" style="1"/>
  </cols>
  <sheetData>
    <row r="1" spans="1:23" x14ac:dyDescent="0.25">
      <c r="B1" s="2" t="s">
        <v>15</v>
      </c>
      <c r="C1" s="2" t="s">
        <v>0</v>
      </c>
      <c r="D1" s="2" t="s">
        <v>1</v>
      </c>
      <c r="E1" s="2" t="s">
        <v>34</v>
      </c>
      <c r="K1" s="2"/>
      <c r="L1" s="2"/>
      <c r="N1" s="2" t="s">
        <v>15</v>
      </c>
      <c r="O1" s="2" t="s">
        <v>0</v>
      </c>
      <c r="P1" s="2" t="s">
        <v>1</v>
      </c>
      <c r="Q1" s="2" t="s">
        <v>35</v>
      </c>
      <c r="U1" s="5"/>
      <c r="V1" s="5"/>
    </row>
    <row r="2" spans="1:23" x14ac:dyDescent="0.25">
      <c r="A2" s="2" t="s">
        <v>16</v>
      </c>
      <c r="B2" s="2">
        <v>1</v>
      </c>
      <c r="C2" s="2">
        <v>2</v>
      </c>
      <c r="D2" s="2">
        <v>5</v>
      </c>
      <c r="E2" s="2">
        <v>10</v>
      </c>
      <c r="F2" s="2">
        <v>20</v>
      </c>
      <c r="G2" s="2">
        <v>50</v>
      </c>
      <c r="H2" s="2">
        <v>100</v>
      </c>
      <c r="I2" s="5">
        <v>200</v>
      </c>
      <c r="J2" s="5">
        <v>500</v>
      </c>
      <c r="K2" s="2">
        <v>1000</v>
      </c>
      <c r="L2" s="2"/>
      <c r="M2" s="2" t="s">
        <v>16</v>
      </c>
      <c r="N2" s="2">
        <v>1</v>
      </c>
      <c r="O2" s="2">
        <v>2</v>
      </c>
      <c r="P2" s="2">
        <v>5</v>
      </c>
      <c r="Q2" s="2">
        <v>10</v>
      </c>
      <c r="R2" s="2">
        <v>20</v>
      </c>
      <c r="S2" s="2">
        <v>50</v>
      </c>
      <c r="T2" s="2">
        <v>100</v>
      </c>
      <c r="U2" s="5">
        <v>200</v>
      </c>
      <c r="V2" s="5">
        <v>500</v>
      </c>
      <c r="W2" s="2">
        <v>1000</v>
      </c>
    </row>
    <row r="3" spans="1:23" x14ac:dyDescent="0.25">
      <c r="A3" s="2" t="s">
        <v>2</v>
      </c>
      <c r="B3" s="2">
        <v>633745910</v>
      </c>
      <c r="C3" s="2">
        <v>623099826</v>
      </c>
      <c r="D3" s="2">
        <v>616821675</v>
      </c>
      <c r="E3" s="2">
        <v>614557897</v>
      </c>
      <c r="F3" s="2">
        <v>613423892</v>
      </c>
      <c r="G3" s="2">
        <v>612744557</v>
      </c>
      <c r="H3" s="2">
        <v>612400142</v>
      </c>
      <c r="I3" s="5">
        <v>612134045</v>
      </c>
      <c r="J3" s="5">
        <v>611928154</v>
      </c>
      <c r="K3" s="2">
        <v>611857969</v>
      </c>
      <c r="L3" s="2"/>
      <c r="M3" s="2" t="s">
        <v>2</v>
      </c>
      <c r="N3" s="2">
        <v>621906751</v>
      </c>
      <c r="O3" s="2">
        <v>610679011</v>
      </c>
      <c r="P3" s="2">
        <v>603921619</v>
      </c>
      <c r="Q3" s="2">
        <v>601677318</v>
      </c>
      <c r="R3" s="2">
        <v>600536047</v>
      </c>
      <c r="S3" s="2">
        <v>599810851</v>
      </c>
      <c r="T3" s="2">
        <v>599494549</v>
      </c>
      <c r="U3" s="5">
        <v>599292157</v>
      </c>
      <c r="V3" s="5">
        <v>599155325</v>
      </c>
      <c r="W3" s="2">
        <v>599086777</v>
      </c>
    </row>
    <row r="4" spans="1:23" x14ac:dyDescent="0.25">
      <c r="A4" s="2" t="s">
        <v>3</v>
      </c>
      <c r="B4" s="2">
        <v>12496</v>
      </c>
      <c r="C4" s="2">
        <v>6143</v>
      </c>
      <c r="D4" s="2">
        <v>2434</v>
      </c>
      <c r="E4" s="2">
        <v>1214</v>
      </c>
      <c r="F4" s="2">
        <v>607</v>
      </c>
      <c r="G4" s="2">
        <v>244</v>
      </c>
      <c r="H4" s="2">
        <v>122</v>
      </c>
      <c r="I4" s="5">
        <v>61</v>
      </c>
      <c r="J4" s="5">
        <v>24</v>
      </c>
      <c r="K4" s="2">
        <v>12</v>
      </c>
      <c r="L4" s="2"/>
      <c r="M4" s="2" t="s">
        <v>3</v>
      </c>
      <c r="N4" s="2">
        <v>12258</v>
      </c>
      <c r="O4" s="2">
        <v>6020</v>
      </c>
      <c r="P4" s="2">
        <v>2382</v>
      </c>
      <c r="Q4" s="2">
        <v>1187</v>
      </c>
      <c r="R4" s="2">
        <v>593</v>
      </c>
      <c r="S4" s="2">
        <v>237</v>
      </c>
      <c r="T4" s="2">
        <v>119</v>
      </c>
      <c r="U4" s="5">
        <v>59</v>
      </c>
      <c r="V4" s="5">
        <v>23</v>
      </c>
      <c r="W4" s="2">
        <v>11</v>
      </c>
    </row>
    <row r="5" spans="1:23" x14ac:dyDescent="0.25">
      <c r="A5" s="2" t="s">
        <v>5</v>
      </c>
      <c r="B5" s="2">
        <v>10340197</v>
      </c>
      <c r="C5" s="2">
        <v>5283723</v>
      </c>
      <c r="D5" s="2">
        <v>2321538</v>
      </c>
      <c r="E5" s="2">
        <v>1312456</v>
      </c>
      <c r="F5" s="2">
        <v>801121</v>
      </c>
      <c r="G5" s="2">
        <v>474877</v>
      </c>
      <c r="H5" s="2">
        <v>307757</v>
      </c>
      <c r="I5" s="5">
        <v>164768</v>
      </c>
      <c r="J5" s="5">
        <v>66141</v>
      </c>
      <c r="K5" s="2">
        <v>34125</v>
      </c>
      <c r="L5" s="2"/>
      <c r="M5" s="2" t="s">
        <v>5</v>
      </c>
      <c r="N5" s="2">
        <v>10426488</v>
      </c>
      <c r="O5" s="2">
        <v>5291454</v>
      </c>
      <c r="P5" s="2">
        <v>2251769</v>
      </c>
      <c r="Q5" s="2">
        <v>1255091</v>
      </c>
      <c r="R5" s="2">
        <v>746656</v>
      </c>
      <c r="S5" s="2">
        <v>413529</v>
      </c>
      <c r="T5" s="2">
        <v>265770</v>
      </c>
      <c r="U5" s="5">
        <v>133881</v>
      </c>
      <c r="V5" s="5">
        <v>56118</v>
      </c>
      <c r="W5" s="2">
        <v>29221</v>
      </c>
    </row>
    <row r="6" spans="1:23" x14ac:dyDescent="0.25">
      <c r="A6" s="2" t="s">
        <v>8</v>
      </c>
      <c r="B6" s="2">
        <f t="shared" ref="B6:K6" si="0">B5/B4</f>
        <v>827.48055377720868</v>
      </c>
      <c r="C6" s="2">
        <f t="shared" si="0"/>
        <v>860.12095067556572</v>
      </c>
      <c r="D6" s="2">
        <f t="shared" si="0"/>
        <v>953.7953985209532</v>
      </c>
      <c r="E6" s="2">
        <f t="shared" si="0"/>
        <v>1081.1004942339373</v>
      </c>
      <c r="F6" s="2">
        <f t="shared" si="0"/>
        <v>1319.8039538714993</v>
      </c>
      <c r="G6" s="2">
        <f t="shared" si="0"/>
        <v>1946.217213114754</v>
      </c>
      <c r="H6" s="2">
        <f t="shared" si="0"/>
        <v>2522.5983606557379</v>
      </c>
      <c r="I6" s="5">
        <f t="shared" si="0"/>
        <v>2701.1147540983607</v>
      </c>
      <c r="J6" s="5">
        <f t="shared" si="0"/>
        <v>2755.875</v>
      </c>
      <c r="K6" s="5">
        <f t="shared" si="0"/>
        <v>2843.75</v>
      </c>
      <c r="L6" s="2"/>
      <c r="M6" s="2" t="s">
        <v>8</v>
      </c>
      <c r="N6" s="2">
        <f t="shared" ref="N6:V6" si="1">N5/N4</f>
        <v>850.58639255996081</v>
      </c>
      <c r="O6" s="2">
        <f t="shared" si="1"/>
        <v>878.97906976744184</v>
      </c>
      <c r="P6" s="2">
        <f t="shared" si="1"/>
        <v>945.3270361041142</v>
      </c>
      <c r="Q6" s="2">
        <f t="shared" si="1"/>
        <v>1057.3639427127212</v>
      </c>
      <c r="R6" s="2">
        <f t="shared" si="1"/>
        <v>1259.1163575042158</v>
      </c>
      <c r="S6" s="2">
        <f t="shared" si="1"/>
        <v>1744.8481012658228</v>
      </c>
      <c r="T6" s="2">
        <f t="shared" si="1"/>
        <v>2233.3613445378151</v>
      </c>
      <c r="U6" s="2">
        <f t="shared" si="1"/>
        <v>2269.1694915254238</v>
      </c>
      <c r="V6" s="2">
        <f t="shared" si="1"/>
        <v>2439.913043478261</v>
      </c>
      <c r="W6" s="2">
        <f>W5/W4</f>
        <v>2656.4545454545455</v>
      </c>
    </row>
    <row r="7" spans="1:23" x14ac:dyDescent="0.25">
      <c r="A7" s="2" t="s">
        <v>6</v>
      </c>
      <c r="B7" s="2">
        <v>1945</v>
      </c>
      <c r="C7" s="2">
        <v>1994</v>
      </c>
      <c r="D7" s="2">
        <v>2020</v>
      </c>
      <c r="E7" s="2">
        <v>2356</v>
      </c>
      <c r="F7" s="2">
        <v>2410</v>
      </c>
      <c r="G7" s="2">
        <v>2659</v>
      </c>
      <c r="H7" s="2">
        <v>2964</v>
      </c>
      <c r="I7" s="5">
        <v>2944</v>
      </c>
      <c r="J7" s="5">
        <v>3492</v>
      </c>
      <c r="K7" s="2">
        <v>3465</v>
      </c>
      <c r="L7" s="2"/>
      <c r="M7" s="2" t="s">
        <v>6</v>
      </c>
      <c r="N7" s="2">
        <v>1830</v>
      </c>
      <c r="O7" s="2">
        <v>2080</v>
      </c>
      <c r="P7" s="2">
        <v>2143</v>
      </c>
      <c r="Q7" s="2">
        <v>2696</v>
      </c>
      <c r="R7" s="2">
        <v>2737</v>
      </c>
      <c r="S7" s="2">
        <v>2978</v>
      </c>
      <c r="T7" s="2">
        <v>3092</v>
      </c>
      <c r="U7" s="5">
        <v>3060</v>
      </c>
      <c r="V7" s="5">
        <v>3671</v>
      </c>
      <c r="W7" s="2">
        <v>3791</v>
      </c>
    </row>
    <row r="8" spans="1:23" x14ac:dyDescent="0.25">
      <c r="A8" s="2" t="s">
        <v>7</v>
      </c>
      <c r="B8" s="2">
        <v>249</v>
      </c>
      <c r="C8" s="2">
        <v>286</v>
      </c>
      <c r="D8" s="2">
        <v>353</v>
      </c>
      <c r="E8" s="2">
        <v>353</v>
      </c>
      <c r="F8" s="2">
        <v>509</v>
      </c>
      <c r="G8" s="2">
        <v>1213</v>
      </c>
      <c r="H8" s="2">
        <v>2174</v>
      </c>
      <c r="I8" s="5">
        <v>2378</v>
      </c>
      <c r="J8" s="5">
        <v>2432</v>
      </c>
      <c r="K8" s="2">
        <v>2498</v>
      </c>
      <c r="L8" s="2"/>
      <c r="M8" s="2" t="s">
        <v>7</v>
      </c>
      <c r="N8" s="2">
        <v>247</v>
      </c>
      <c r="O8" s="2">
        <v>247</v>
      </c>
      <c r="P8" s="2">
        <v>353</v>
      </c>
      <c r="Q8" s="2">
        <v>353</v>
      </c>
      <c r="R8" s="2">
        <v>561</v>
      </c>
      <c r="S8" s="2">
        <v>1342</v>
      </c>
      <c r="T8" s="2">
        <v>2122</v>
      </c>
      <c r="U8" s="5">
        <v>2123</v>
      </c>
      <c r="V8" s="5">
        <v>2128</v>
      </c>
      <c r="W8" s="2">
        <v>2136</v>
      </c>
    </row>
    <row r="9" spans="1:23" x14ac:dyDescent="0.25">
      <c r="K9" s="2"/>
      <c r="L9" s="2"/>
      <c r="U9" s="5"/>
      <c r="V9" s="5"/>
    </row>
    <row r="10" spans="1:23" x14ac:dyDescent="0.25">
      <c r="A10" s="2" t="s">
        <v>4</v>
      </c>
      <c r="B10" s="2">
        <v>11</v>
      </c>
      <c r="C10" s="2">
        <v>12</v>
      </c>
      <c r="D10" s="2">
        <v>10</v>
      </c>
      <c r="E10" s="2">
        <v>9</v>
      </c>
      <c r="F10" s="2">
        <v>12</v>
      </c>
      <c r="G10" s="2">
        <v>10</v>
      </c>
      <c r="H10" s="2">
        <v>10</v>
      </c>
      <c r="I10" s="5">
        <v>10</v>
      </c>
      <c r="J10" s="5">
        <v>9</v>
      </c>
      <c r="K10" s="2">
        <v>9</v>
      </c>
      <c r="L10" s="2"/>
      <c r="M10" s="2" t="s">
        <v>4</v>
      </c>
      <c r="N10" s="2">
        <v>12</v>
      </c>
      <c r="O10" s="2">
        <v>12</v>
      </c>
      <c r="P10" s="2">
        <v>9</v>
      </c>
      <c r="Q10" s="2">
        <v>11</v>
      </c>
      <c r="R10" s="2">
        <v>12</v>
      </c>
      <c r="S10" s="2">
        <v>9</v>
      </c>
      <c r="T10" s="2">
        <v>10</v>
      </c>
      <c r="U10" s="5">
        <v>11</v>
      </c>
      <c r="V10" s="5">
        <v>11</v>
      </c>
      <c r="W10" s="2">
        <v>11</v>
      </c>
    </row>
    <row r="11" spans="1:23" x14ac:dyDescent="0.25">
      <c r="A11" s="2" t="s">
        <v>9</v>
      </c>
      <c r="B11" s="2">
        <v>10708</v>
      </c>
      <c r="C11" s="2">
        <v>13000</v>
      </c>
      <c r="D11" s="2">
        <v>11240</v>
      </c>
      <c r="E11" s="2">
        <v>12527</v>
      </c>
      <c r="F11" s="2">
        <v>12571</v>
      </c>
      <c r="G11" s="2">
        <v>15195</v>
      </c>
      <c r="H11" s="2">
        <v>15784</v>
      </c>
      <c r="I11" s="5">
        <v>15592</v>
      </c>
      <c r="J11" s="5">
        <v>15413</v>
      </c>
      <c r="K11" s="2">
        <v>15203</v>
      </c>
      <c r="L11" s="2"/>
      <c r="M11" s="2" t="s">
        <v>9</v>
      </c>
      <c r="N11" s="2">
        <v>11178</v>
      </c>
      <c r="O11" s="2">
        <v>11504</v>
      </c>
      <c r="P11" s="2">
        <v>10850</v>
      </c>
      <c r="Q11" s="2">
        <v>12948</v>
      </c>
      <c r="R11" s="2">
        <v>14719</v>
      </c>
      <c r="S11" s="2">
        <v>12504</v>
      </c>
      <c r="T11" s="2">
        <v>15894</v>
      </c>
      <c r="U11" s="5">
        <v>19194</v>
      </c>
      <c r="V11" s="5">
        <v>19227</v>
      </c>
      <c r="W11" s="2">
        <v>19302</v>
      </c>
    </row>
    <row r="12" spans="1:23" x14ac:dyDescent="0.25">
      <c r="A12" s="2" t="s">
        <v>10</v>
      </c>
      <c r="B12" s="2">
        <f>B11/B10</f>
        <v>973.4545454545455</v>
      </c>
      <c r="C12" s="2">
        <f>C11/C10</f>
        <v>1083.3333333333333</v>
      </c>
      <c r="D12" s="2">
        <f>D11/D10</f>
        <v>1124</v>
      </c>
      <c r="E12" s="2">
        <f>E11/E10</f>
        <v>1391.8888888888889</v>
      </c>
      <c r="F12" s="2">
        <f t="shared" ref="F12:K12" si="2">F11/F10</f>
        <v>1047.5833333333333</v>
      </c>
      <c r="G12" s="2">
        <f t="shared" si="2"/>
        <v>1519.5</v>
      </c>
      <c r="H12" s="2">
        <f t="shared" si="2"/>
        <v>1578.4</v>
      </c>
      <c r="I12" s="5">
        <f t="shared" si="2"/>
        <v>1559.2</v>
      </c>
      <c r="J12" s="5">
        <f t="shared" si="2"/>
        <v>1712.5555555555557</v>
      </c>
      <c r="K12" s="5">
        <f t="shared" si="2"/>
        <v>1689.2222222222222</v>
      </c>
      <c r="L12" s="2"/>
      <c r="M12" s="2" t="s">
        <v>10</v>
      </c>
      <c r="N12" s="2">
        <f t="shared" ref="N12:V12" si="3">N11/N10</f>
        <v>931.5</v>
      </c>
      <c r="O12" s="2">
        <f t="shared" si="3"/>
        <v>958.66666666666663</v>
      </c>
      <c r="P12" s="2">
        <f t="shared" si="3"/>
        <v>1205.5555555555557</v>
      </c>
      <c r="Q12" s="2">
        <f t="shared" si="3"/>
        <v>1177.090909090909</v>
      </c>
      <c r="R12" s="2">
        <f t="shared" si="3"/>
        <v>1226.5833333333333</v>
      </c>
      <c r="S12" s="2">
        <f t="shared" si="3"/>
        <v>1389.3333333333333</v>
      </c>
      <c r="T12" s="2">
        <f t="shared" si="3"/>
        <v>1589.4</v>
      </c>
      <c r="U12" s="2">
        <f t="shared" si="3"/>
        <v>1744.909090909091</v>
      </c>
      <c r="V12" s="2">
        <f t="shared" si="3"/>
        <v>1747.909090909091</v>
      </c>
      <c r="W12" s="2">
        <f>W11/W10</f>
        <v>1754.7272727272727</v>
      </c>
    </row>
    <row r="13" spans="1:23" x14ac:dyDescent="0.25">
      <c r="A13" s="2" t="s">
        <v>11</v>
      </c>
      <c r="B13" s="2">
        <v>2038</v>
      </c>
      <c r="C13" s="2">
        <v>2531</v>
      </c>
      <c r="D13" s="2">
        <v>2633</v>
      </c>
      <c r="E13" s="2">
        <v>2662</v>
      </c>
      <c r="F13" s="2">
        <v>2670</v>
      </c>
      <c r="G13" s="2">
        <v>2668</v>
      </c>
      <c r="H13" s="2">
        <v>2646</v>
      </c>
      <c r="I13" s="5">
        <v>2675</v>
      </c>
      <c r="J13" s="5">
        <v>2672</v>
      </c>
      <c r="K13" s="2">
        <v>2684</v>
      </c>
      <c r="L13" s="2"/>
      <c r="M13" s="2" t="s">
        <v>11</v>
      </c>
      <c r="N13" s="2">
        <v>1855</v>
      </c>
      <c r="O13" s="2">
        <v>2530</v>
      </c>
      <c r="P13" s="2">
        <v>2590</v>
      </c>
      <c r="Q13" s="2">
        <v>2538</v>
      </c>
      <c r="R13" s="2">
        <v>2566</v>
      </c>
      <c r="S13" s="2">
        <v>2540</v>
      </c>
      <c r="T13" s="2">
        <v>2584</v>
      </c>
      <c r="U13" s="5">
        <v>2705</v>
      </c>
      <c r="V13" s="5">
        <v>2681</v>
      </c>
      <c r="W13" s="2">
        <v>2675</v>
      </c>
    </row>
    <row r="14" spans="1:23" x14ac:dyDescent="0.25">
      <c r="A14" s="2" t="s">
        <v>12</v>
      </c>
      <c r="B14" s="2">
        <v>400</v>
      </c>
      <c r="C14" s="2">
        <v>433</v>
      </c>
      <c r="D14" s="2">
        <v>641</v>
      </c>
      <c r="E14" s="2">
        <v>651</v>
      </c>
      <c r="F14" s="2">
        <v>247</v>
      </c>
      <c r="G14" s="2">
        <v>894</v>
      </c>
      <c r="H14" s="2">
        <v>840</v>
      </c>
      <c r="I14" s="5">
        <v>823</v>
      </c>
      <c r="J14" s="5">
        <v>1309</v>
      </c>
      <c r="K14" s="2">
        <v>1280</v>
      </c>
      <c r="L14" s="2"/>
      <c r="M14" s="2" t="s">
        <v>12</v>
      </c>
      <c r="N14" s="2">
        <v>249</v>
      </c>
      <c r="O14" s="2">
        <v>311</v>
      </c>
      <c r="P14" s="2">
        <v>438</v>
      </c>
      <c r="Q14" s="2">
        <v>546</v>
      </c>
      <c r="R14" s="2">
        <v>481</v>
      </c>
      <c r="S14" s="2">
        <v>616</v>
      </c>
      <c r="T14" s="2">
        <v>690</v>
      </c>
      <c r="U14" s="5">
        <v>1138</v>
      </c>
      <c r="V14" s="5">
        <v>1134</v>
      </c>
      <c r="W14" s="2">
        <v>1139</v>
      </c>
    </row>
    <row r="15" spans="1:23" x14ac:dyDescent="0.25">
      <c r="K15" s="2"/>
      <c r="L15" s="2"/>
      <c r="U15" s="5"/>
      <c r="V15" s="5"/>
    </row>
    <row r="16" spans="1:23" x14ac:dyDescent="0.25">
      <c r="A16" s="2" t="s">
        <v>20</v>
      </c>
      <c r="M16" s="2" t="s">
        <v>20</v>
      </c>
      <c r="N16" s="2">
        <v>28469080</v>
      </c>
      <c r="O16" s="2">
        <v>28057315</v>
      </c>
      <c r="P16" s="2">
        <v>27817190</v>
      </c>
      <c r="Q16" s="2">
        <v>27738559</v>
      </c>
      <c r="R16" s="2">
        <v>27699462</v>
      </c>
      <c r="S16" s="2">
        <v>27675693</v>
      </c>
      <c r="T16" s="2">
        <v>27667990</v>
      </c>
      <c r="U16" s="2">
        <v>27664186</v>
      </c>
      <c r="V16" s="2">
        <v>27661837</v>
      </c>
      <c r="W16" s="2">
        <v>27661054</v>
      </c>
    </row>
    <row r="17" spans="1:23" x14ac:dyDescent="0.25">
      <c r="A17" s="2" t="s">
        <v>21</v>
      </c>
      <c r="M17" s="2" t="s">
        <v>21</v>
      </c>
      <c r="N17" s="2">
        <v>26015588</v>
      </c>
      <c r="O17" s="2">
        <v>25766352</v>
      </c>
      <c r="P17" s="2">
        <v>25623615</v>
      </c>
      <c r="Q17" s="2">
        <v>25578070</v>
      </c>
      <c r="R17" s="2">
        <v>25555414</v>
      </c>
      <c r="S17" s="2">
        <v>25541936</v>
      </c>
      <c r="T17" s="2">
        <v>25539157</v>
      </c>
      <c r="U17" s="2">
        <v>25538624</v>
      </c>
      <c r="V17" s="2">
        <v>25538201</v>
      </c>
      <c r="W17" s="2">
        <v>25538102</v>
      </c>
    </row>
    <row r="18" spans="1:23" x14ac:dyDescent="0.25">
      <c r="A18" s="2" t="s">
        <v>22</v>
      </c>
      <c r="M18" s="2" t="s">
        <v>22</v>
      </c>
      <c r="N18" s="2">
        <v>2453492</v>
      </c>
      <c r="O18" s="2">
        <v>2290963</v>
      </c>
      <c r="P18" s="2">
        <v>2193575</v>
      </c>
      <c r="Q18" s="2">
        <v>2160489</v>
      </c>
      <c r="R18" s="2">
        <v>2144048</v>
      </c>
      <c r="S18" s="2">
        <v>2133757</v>
      </c>
      <c r="T18" s="2">
        <v>2128833</v>
      </c>
      <c r="U18" s="2">
        <v>2125562</v>
      </c>
      <c r="V18" s="2">
        <v>2123636</v>
      </c>
      <c r="W18" s="5">
        <v>2122952</v>
      </c>
    </row>
    <row r="19" spans="1:23" x14ac:dyDescent="0.25">
      <c r="A19" s="2" t="s">
        <v>23</v>
      </c>
      <c r="M19" s="2" t="s">
        <v>23</v>
      </c>
      <c r="N19" s="2">
        <v>24027699</v>
      </c>
      <c r="O19" s="2">
        <v>23760640</v>
      </c>
      <c r="P19" s="2">
        <v>23604919</v>
      </c>
      <c r="Q19" s="2">
        <v>23553916</v>
      </c>
      <c r="R19" s="2">
        <v>23528549</v>
      </c>
      <c r="S19" s="2">
        <v>23513150</v>
      </c>
      <c r="T19" s="2">
        <v>23508148</v>
      </c>
      <c r="U19" s="2">
        <v>23505675</v>
      </c>
      <c r="V19" s="2">
        <v>23504154</v>
      </c>
      <c r="W19" s="2">
        <v>23503647</v>
      </c>
    </row>
    <row r="20" spans="1:23" x14ac:dyDescent="0.25">
      <c r="A20" s="2" t="s">
        <v>24</v>
      </c>
      <c r="M20" s="2" t="s">
        <v>24</v>
      </c>
      <c r="N20" s="2">
        <v>23964644</v>
      </c>
      <c r="O20" s="2">
        <v>23704439</v>
      </c>
      <c r="P20" s="2">
        <v>23553256</v>
      </c>
      <c r="Q20" s="2">
        <v>23503751</v>
      </c>
      <c r="R20" s="2">
        <v>23479181</v>
      </c>
      <c r="S20" s="2">
        <v>23464444</v>
      </c>
      <c r="T20" s="2">
        <v>23459775</v>
      </c>
      <c r="U20" s="2">
        <v>23457904</v>
      </c>
      <c r="V20" s="2">
        <v>23456745</v>
      </c>
      <c r="W20" s="2">
        <v>23456355</v>
      </c>
    </row>
    <row r="21" spans="1:23" x14ac:dyDescent="0.25">
      <c r="A21" s="2" t="s">
        <v>25</v>
      </c>
      <c r="M21" s="2" t="s">
        <v>25</v>
      </c>
      <c r="N21" s="2">
        <v>63055</v>
      </c>
      <c r="O21" s="2">
        <v>56201</v>
      </c>
      <c r="P21" s="2">
        <v>51663</v>
      </c>
      <c r="Q21" s="2">
        <v>50165</v>
      </c>
      <c r="R21" s="2">
        <v>49368</v>
      </c>
      <c r="S21" s="2">
        <v>48706</v>
      </c>
      <c r="T21" s="2">
        <v>48373</v>
      </c>
      <c r="U21" s="2">
        <v>47771</v>
      </c>
      <c r="V21" s="2">
        <v>47409</v>
      </c>
      <c r="W21" s="2">
        <v>47292</v>
      </c>
    </row>
    <row r="23" spans="1:23" x14ac:dyDescent="0.25">
      <c r="A23" s="2" t="s">
        <v>39</v>
      </c>
      <c r="M23" s="2" t="s">
        <v>39</v>
      </c>
      <c r="N23" s="2">
        <v>134425398</v>
      </c>
      <c r="O23" s="2">
        <v>125406964</v>
      </c>
      <c r="P23" s="2">
        <v>119960138</v>
      </c>
      <c r="Q23" s="2">
        <v>118078631</v>
      </c>
      <c r="R23" s="2">
        <v>117186109</v>
      </c>
      <c r="S23" s="2">
        <v>116576685</v>
      </c>
      <c r="T23" s="2">
        <v>116293547</v>
      </c>
      <c r="U23" s="2">
        <v>116116385</v>
      </c>
      <c r="V23" s="2">
        <v>115963312</v>
      </c>
      <c r="W23" s="2">
        <v>115947454</v>
      </c>
    </row>
    <row r="24" spans="1:23" x14ac:dyDescent="0.25">
      <c r="A24" s="2" t="s">
        <v>37</v>
      </c>
      <c r="M24" s="2" t="s">
        <v>37</v>
      </c>
      <c r="N24" s="2">
        <v>131060576</v>
      </c>
      <c r="O24" s="2">
        <v>122408377</v>
      </c>
      <c r="P24" s="2">
        <v>117204503</v>
      </c>
      <c r="Q24" s="2">
        <v>115403104</v>
      </c>
      <c r="R24" s="2">
        <v>114552525</v>
      </c>
      <c r="S24" s="2">
        <v>113979257</v>
      </c>
      <c r="T24" s="2">
        <v>113712963</v>
      </c>
      <c r="U24" s="2">
        <v>113568067</v>
      </c>
      <c r="V24" s="2">
        <v>113434457</v>
      </c>
      <c r="W24" s="2">
        <v>113424646</v>
      </c>
    </row>
    <row r="25" spans="1:23" x14ac:dyDescent="0.25">
      <c r="A25" s="2" t="s">
        <v>38</v>
      </c>
      <c r="M25" s="2" t="s">
        <v>38</v>
      </c>
      <c r="N25" s="2">
        <v>3364822</v>
      </c>
      <c r="O25" s="2">
        <v>2998587</v>
      </c>
      <c r="P25" s="2">
        <v>2755635</v>
      </c>
      <c r="Q25" s="2">
        <v>2675527</v>
      </c>
      <c r="R25" s="2">
        <v>2633584</v>
      </c>
      <c r="S25" s="2">
        <v>2597428</v>
      </c>
      <c r="T25" s="2">
        <v>2580584</v>
      </c>
      <c r="U25" s="2">
        <v>2548318</v>
      </c>
      <c r="V25" s="2">
        <v>2528855</v>
      </c>
      <c r="W25" s="2">
        <v>2522908</v>
      </c>
    </row>
    <row r="27" spans="1:23" x14ac:dyDescent="0.25">
      <c r="M27" s="2" t="s">
        <v>42</v>
      </c>
      <c r="N27" s="2">
        <v>707503</v>
      </c>
      <c r="O27" s="2">
        <v>345046</v>
      </c>
      <c r="P27" s="2">
        <v>134065</v>
      </c>
      <c r="Q27" s="2">
        <v>65492</v>
      </c>
      <c r="R27" s="2">
        <v>31475</v>
      </c>
      <c r="S27" s="2">
        <v>11250</v>
      </c>
      <c r="T27" s="2">
        <v>5199</v>
      </c>
      <c r="U27" s="2">
        <v>2793</v>
      </c>
      <c r="V27" s="2">
        <v>1337</v>
      </c>
      <c r="W27" s="2">
        <v>859</v>
      </c>
    </row>
    <row r="28" spans="1:23" x14ac:dyDescent="0.25">
      <c r="M28" s="2" t="s">
        <v>40</v>
      </c>
      <c r="N28" s="2">
        <v>101721</v>
      </c>
      <c r="O28" s="2">
        <v>52488</v>
      </c>
      <c r="P28" s="2">
        <v>23421</v>
      </c>
      <c r="Q28" s="2">
        <v>13269</v>
      </c>
      <c r="R28" s="2">
        <v>8143</v>
      </c>
      <c r="S28" s="2">
        <v>4740</v>
      </c>
      <c r="T28" s="2">
        <v>3041</v>
      </c>
      <c r="U28" s="2">
        <v>1597</v>
      </c>
      <c r="V28" s="2">
        <v>704</v>
      </c>
      <c r="W28" s="2">
        <v>399</v>
      </c>
    </row>
    <row r="29" spans="1:23" x14ac:dyDescent="0.25">
      <c r="M29" s="2" t="s">
        <v>43</v>
      </c>
      <c r="N29" s="1">
        <v>510091</v>
      </c>
      <c r="O29" s="2">
        <v>249461</v>
      </c>
      <c r="P29" s="2">
        <v>98147</v>
      </c>
      <c r="Q29" s="2">
        <v>48276</v>
      </c>
      <c r="R29" s="2">
        <v>23577</v>
      </c>
      <c r="S29" s="2">
        <v>8847</v>
      </c>
      <c r="T29" s="2">
        <v>4170</v>
      </c>
      <c r="U29" s="2">
        <v>2269</v>
      </c>
      <c r="V29" s="2">
        <v>1100</v>
      </c>
      <c r="W29" s="2">
        <v>710</v>
      </c>
    </row>
    <row r="30" spans="1:23" x14ac:dyDescent="0.25">
      <c r="M30" s="2" t="s">
        <v>41</v>
      </c>
      <c r="N30" s="2">
        <v>14795</v>
      </c>
      <c r="O30" s="2">
        <v>8405</v>
      </c>
      <c r="P30" s="2">
        <v>4027</v>
      </c>
      <c r="Q30" s="2">
        <v>2853</v>
      </c>
      <c r="R30" s="2">
        <v>2165</v>
      </c>
      <c r="S30" s="2">
        <v>1559</v>
      </c>
      <c r="T30" s="2">
        <v>1213</v>
      </c>
      <c r="U30" s="2">
        <v>621</v>
      </c>
      <c r="V30" s="2">
        <v>269</v>
      </c>
      <c r="W30" s="2">
        <v>152</v>
      </c>
    </row>
    <row r="32" spans="1:23" x14ac:dyDescent="0.25">
      <c r="A32" s="2" t="s">
        <v>14</v>
      </c>
      <c r="B32" s="2">
        <f t="shared" ref="B32:K32" si="4">B11/(B11+B5) %</f>
        <v>0.10344989157952855</v>
      </c>
      <c r="C32" s="2">
        <f t="shared" si="4"/>
        <v>0.24543477165032038</v>
      </c>
      <c r="D32" s="2">
        <f t="shared" si="4"/>
        <v>0.4818289610070054</v>
      </c>
      <c r="E32" s="2">
        <f t="shared" si="4"/>
        <v>0.94544609251590395</v>
      </c>
      <c r="F32" s="2">
        <f t="shared" si="4"/>
        <v>1.5449334637676173</v>
      </c>
      <c r="G32" s="2">
        <f t="shared" si="4"/>
        <v>3.1005648149659639</v>
      </c>
      <c r="H32" s="2">
        <f t="shared" si="4"/>
        <v>4.8785161695117472</v>
      </c>
      <c r="I32" s="5">
        <f t="shared" si="4"/>
        <v>8.6449323575072086</v>
      </c>
      <c r="J32" s="5">
        <f t="shared" si="4"/>
        <v>18.899134315913383</v>
      </c>
      <c r="K32" s="5">
        <f t="shared" si="4"/>
        <v>30.820223807979243</v>
      </c>
      <c r="L32" s="2"/>
      <c r="M32" s="2" t="s">
        <v>14</v>
      </c>
      <c r="N32" s="2">
        <f t="shared" ref="N32:W32" si="5">N11/(N11+N5)</f>
        <v>1.0709290755232062E-3</v>
      </c>
      <c r="O32" s="2">
        <f t="shared" si="5"/>
        <v>2.1693552918955797E-3</v>
      </c>
      <c r="P32" s="2">
        <f t="shared" si="5"/>
        <v>4.7953278921462252E-3</v>
      </c>
      <c r="Q32" s="2">
        <f t="shared" si="5"/>
        <v>1.021104240484717E-2</v>
      </c>
      <c r="R32" s="2">
        <f t="shared" si="5"/>
        <v>1.9332129371203415E-2</v>
      </c>
      <c r="S32" s="2">
        <f t="shared" si="5"/>
        <v>2.9349839096971361E-2</v>
      </c>
      <c r="T32" s="2">
        <f t="shared" si="5"/>
        <v>5.6428936605316976E-2</v>
      </c>
      <c r="U32" s="2">
        <f t="shared" si="5"/>
        <v>0.12538951494365508</v>
      </c>
      <c r="V32" s="2">
        <f t="shared" si="5"/>
        <v>0.2551861437388015</v>
      </c>
      <c r="W32" s="2">
        <f t="shared" si="5"/>
        <v>0.39779073841271151</v>
      </c>
    </row>
    <row r="33" spans="1:23" x14ac:dyDescent="0.25">
      <c r="A33" s="2" t="s">
        <v>13</v>
      </c>
      <c r="B33" s="2">
        <v>12496</v>
      </c>
      <c r="C33" s="2">
        <v>6142</v>
      </c>
      <c r="D33" s="2">
        <v>2432</v>
      </c>
      <c r="E33" s="2">
        <v>1211</v>
      </c>
      <c r="F33" s="2">
        <v>605</v>
      </c>
      <c r="G33" s="2">
        <v>242</v>
      </c>
      <c r="H33" s="2">
        <v>121</v>
      </c>
      <c r="I33" s="5">
        <v>61</v>
      </c>
      <c r="J33" s="5">
        <v>24</v>
      </c>
      <c r="K33" s="2">
        <v>12</v>
      </c>
      <c r="L33" s="2"/>
      <c r="M33" s="2" t="s">
        <v>13</v>
      </c>
      <c r="N33" s="2">
        <v>12260</v>
      </c>
      <c r="O33" s="2">
        <v>6019</v>
      </c>
      <c r="P33" s="2">
        <v>2380</v>
      </c>
      <c r="Q33" s="2">
        <v>1185</v>
      </c>
      <c r="R33" s="2">
        <v>592</v>
      </c>
      <c r="S33" s="2">
        <v>236</v>
      </c>
      <c r="T33" s="2">
        <v>118</v>
      </c>
      <c r="U33" s="5">
        <v>59</v>
      </c>
      <c r="V33" s="5">
        <v>23</v>
      </c>
      <c r="W33" s="2">
        <v>11</v>
      </c>
    </row>
    <row r="35" spans="1:23" s="3" customFormat="1" x14ac:dyDescent="0.25">
      <c r="A35" s="4"/>
      <c r="B35" s="4"/>
      <c r="C35" s="4"/>
      <c r="D35" s="4"/>
      <c r="E35" s="4"/>
      <c r="F35" s="4"/>
      <c r="G35" s="4"/>
      <c r="H35" s="4"/>
      <c r="I35" s="6"/>
      <c r="J35" s="6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s="2" customFormat="1" x14ac:dyDescent="0.25">
      <c r="B36" s="2" t="s">
        <v>15</v>
      </c>
      <c r="C36" s="2" t="s">
        <v>0</v>
      </c>
      <c r="D36" s="2" t="s">
        <v>19</v>
      </c>
      <c r="I36" s="5"/>
      <c r="J36" s="5"/>
    </row>
    <row r="37" spans="1:23" s="2" customFormat="1" x14ac:dyDescent="0.25">
      <c r="A37" s="2" t="s">
        <v>26</v>
      </c>
      <c r="B37" s="2">
        <v>1</v>
      </c>
      <c r="C37" s="2">
        <v>2</v>
      </c>
      <c r="D37" s="2">
        <v>4</v>
      </c>
      <c r="E37" s="2">
        <v>8</v>
      </c>
      <c r="F37" s="2">
        <v>16</v>
      </c>
      <c r="I37" s="5"/>
      <c r="J37" s="5"/>
    </row>
    <row r="38" spans="1:23" s="2" customFormat="1" x14ac:dyDescent="0.25">
      <c r="A38" s="2" t="s">
        <v>2</v>
      </c>
      <c r="B38" s="2">
        <v>598143022</v>
      </c>
      <c r="C38" s="2">
        <v>599333326</v>
      </c>
      <c r="D38" s="2">
        <v>601662699</v>
      </c>
      <c r="E38" s="2">
        <v>604126563</v>
      </c>
      <c r="F38" s="2">
        <v>607783072</v>
      </c>
      <c r="I38" s="5"/>
      <c r="J38" s="5"/>
    </row>
    <row r="39" spans="1:23" s="2" customFormat="1" x14ac:dyDescent="0.25">
      <c r="A39" s="2" t="s">
        <v>3</v>
      </c>
      <c r="B39" s="2">
        <v>3</v>
      </c>
      <c r="C39" s="2">
        <v>1182</v>
      </c>
      <c r="D39" s="2">
        <v>1187</v>
      </c>
      <c r="E39" s="2">
        <v>1191</v>
      </c>
      <c r="F39" s="2">
        <v>1199</v>
      </c>
      <c r="I39" s="5"/>
      <c r="J39" s="5"/>
    </row>
    <row r="40" spans="1:23" s="2" customFormat="1" x14ac:dyDescent="0.25">
      <c r="A40" s="2" t="s">
        <v>5</v>
      </c>
      <c r="B40" s="2">
        <v>3371</v>
      </c>
      <c r="C40" s="2">
        <v>807060</v>
      </c>
      <c r="D40" s="2">
        <v>1255091</v>
      </c>
      <c r="E40" s="2">
        <v>1316881</v>
      </c>
      <c r="F40" s="2">
        <v>1475473</v>
      </c>
      <c r="I40" s="5"/>
      <c r="J40" s="5"/>
    </row>
    <row r="41" spans="1:23" s="2" customFormat="1" x14ac:dyDescent="0.25">
      <c r="A41" s="2" t="s">
        <v>8</v>
      </c>
      <c r="B41" s="2">
        <f>B40/B39</f>
        <v>1123.6666666666667</v>
      </c>
      <c r="C41" s="2">
        <f>C40/C39</f>
        <v>682.79187817258878</v>
      </c>
      <c r="D41" s="2">
        <f>D40/D39</f>
        <v>1057.3639427127212</v>
      </c>
      <c r="E41" s="2">
        <f>E40/E39</f>
        <v>1105.6935348446684</v>
      </c>
      <c r="F41" s="2">
        <f>F40/F39</f>
        <v>1230.5863219349458</v>
      </c>
      <c r="I41" s="5"/>
      <c r="J41" s="5"/>
    </row>
    <row r="42" spans="1:23" s="2" customFormat="1" x14ac:dyDescent="0.25">
      <c r="I42" s="5"/>
      <c r="J42" s="5"/>
    </row>
    <row r="43" spans="1:23" s="2" customFormat="1" x14ac:dyDescent="0.25">
      <c r="A43" s="2" t="s">
        <v>4</v>
      </c>
      <c r="B43" s="2">
        <v>3</v>
      </c>
      <c r="C43" s="2">
        <v>5</v>
      </c>
      <c r="D43" s="2">
        <v>11</v>
      </c>
      <c r="E43" s="2">
        <v>23</v>
      </c>
      <c r="F43" s="2">
        <v>46</v>
      </c>
      <c r="I43" s="5"/>
      <c r="J43" s="5"/>
    </row>
    <row r="44" spans="1:23" s="2" customFormat="1" x14ac:dyDescent="0.25">
      <c r="A44" s="2" t="s">
        <v>9</v>
      </c>
      <c r="B44" s="2">
        <v>5614</v>
      </c>
      <c r="C44" s="2">
        <v>7715</v>
      </c>
      <c r="D44" s="2">
        <v>12948</v>
      </c>
      <c r="E44" s="2">
        <v>28007</v>
      </c>
      <c r="F44" s="2">
        <v>60561</v>
      </c>
      <c r="I44" s="5"/>
      <c r="J44" s="5"/>
    </row>
    <row r="45" spans="1:23" s="2" customFormat="1" x14ac:dyDescent="0.25">
      <c r="A45" s="2" t="s">
        <v>10</v>
      </c>
      <c r="B45" s="2">
        <f>B44/B43</f>
        <v>1871.3333333333333</v>
      </c>
      <c r="C45" s="2">
        <f>C44/C43</f>
        <v>1543</v>
      </c>
      <c r="D45" s="2">
        <f>D44/D43</f>
        <v>1177.090909090909</v>
      </c>
      <c r="E45" s="2">
        <f>E44/E43</f>
        <v>1217.695652173913</v>
      </c>
      <c r="F45" s="2">
        <f>F44/F43</f>
        <v>1316.5434782608695</v>
      </c>
      <c r="I45" s="5"/>
      <c r="J45" s="5"/>
    </row>
    <row r="46" spans="1:23" s="2" customFormat="1" x14ac:dyDescent="0.25">
      <c r="I46" s="5"/>
      <c r="J46" s="5"/>
    </row>
    <row r="47" spans="1:23" s="2" customFormat="1" x14ac:dyDescent="0.25">
      <c r="A47" s="2" t="s">
        <v>14</v>
      </c>
      <c r="B47" s="2">
        <f>B44/(B44+B40) %</f>
        <v>62.481914301613806</v>
      </c>
      <c r="C47" s="2">
        <f>C44/(C44+C40) %</f>
        <v>0.94688717744162498</v>
      </c>
      <c r="D47" s="2">
        <f>D44/(D44+D40) %</f>
        <v>1.021104240484717</v>
      </c>
      <c r="E47" s="2">
        <f>E44/(E44+E40) %</f>
        <v>2.0824782435414697</v>
      </c>
      <c r="F47" s="2">
        <f>F44/(F44+F40) %</f>
        <v>3.942686164498963</v>
      </c>
      <c r="I47" s="5"/>
      <c r="J47" s="5"/>
    </row>
    <row r="48" spans="1:23" s="2" customFormat="1" x14ac:dyDescent="0.25">
      <c r="A48" s="2" t="s">
        <v>13</v>
      </c>
      <c r="B48" s="2">
        <v>1179</v>
      </c>
      <c r="C48" s="2">
        <v>1181</v>
      </c>
      <c r="D48" s="2">
        <v>1185</v>
      </c>
      <c r="E48" s="2">
        <v>1190</v>
      </c>
      <c r="F48" s="2">
        <v>1198</v>
      </c>
      <c r="I48" s="5"/>
      <c r="J48" s="5"/>
    </row>
    <row r="49" spans="1:23" s="2" customFormat="1" x14ac:dyDescent="0.25">
      <c r="I49" s="5"/>
      <c r="J49" s="5"/>
    </row>
    <row r="50" spans="1:23" s="2" customFormat="1" x14ac:dyDescent="0.25">
      <c r="A50" s="2" t="s">
        <v>20</v>
      </c>
      <c r="B50" s="2">
        <v>27718143</v>
      </c>
      <c r="C50" s="2">
        <v>27737131</v>
      </c>
      <c r="D50" s="2">
        <v>27738559</v>
      </c>
      <c r="E50" s="2">
        <v>27741250</v>
      </c>
      <c r="F50" s="2">
        <v>27747348</v>
      </c>
      <c r="I50" s="5"/>
      <c r="J50" s="5"/>
    </row>
    <row r="51" spans="1:23" s="2" customFormat="1" x14ac:dyDescent="0.25">
      <c r="A51" s="2" t="s">
        <v>21</v>
      </c>
      <c r="B51" s="2">
        <v>25594309</v>
      </c>
      <c r="C51" s="2">
        <v>25605607</v>
      </c>
      <c r="D51" s="2">
        <v>25578070</v>
      </c>
      <c r="E51" s="2">
        <v>25567346</v>
      </c>
      <c r="F51" s="2">
        <v>25569797</v>
      </c>
      <c r="I51" s="5"/>
      <c r="J51" s="5"/>
    </row>
    <row r="52" spans="1:23" s="2" customFormat="1" x14ac:dyDescent="0.25">
      <c r="A52" s="2" t="s">
        <v>22</v>
      </c>
      <c r="B52" s="2">
        <v>2123834</v>
      </c>
      <c r="C52" s="2">
        <v>2131524</v>
      </c>
      <c r="D52" s="2">
        <v>2160489</v>
      </c>
      <c r="E52" s="2">
        <v>2173904</v>
      </c>
      <c r="F52" s="2">
        <v>2177551</v>
      </c>
      <c r="I52" s="5"/>
      <c r="J52" s="5"/>
      <c r="S52" s="2" t="s">
        <v>47</v>
      </c>
    </row>
    <row r="53" spans="1:23" s="2" customFormat="1" x14ac:dyDescent="0.25">
      <c r="A53" s="2" t="s">
        <v>23</v>
      </c>
      <c r="B53" s="2">
        <v>23543213</v>
      </c>
      <c r="C53" s="2">
        <v>23551154</v>
      </c>
      <c r="D53" s="2">
        <v>23553916</v>
      </c>
      <c r="E53" s="2">
        <v>23559512</v>
      </c>
      <c r="F53" s="2">
        <v>23571216</v>
      </c>
      <c r="I53" s="5"/>
      <c r="J53" s="5"/>
      <c r="S53" s="2">
        <v>601016495</v>
      </c>
      <c r="U53" s="2">
        <v>601013232</v>
      </c>
    </row>
    <row r="54" spans="1:23" s="2" customFormat="1" x14ac:dyDescent="0.25">
      <c r="A54" s="2" t="s">
        <v>24</v>
      </c>
      <c r="B54" s="2">
        <v>23494918</v>
      </c>
      <c r="C54" s="2">
        <v>23502621</v>
      </c>
      <c r="D54" s="2">
        <v>23503751</v>
      </c>
      <c r="E54" s="2">
        <v>23508484</v>
      </c>
      <c r="F54" s="2">
        <v>23517769</v>
      </c>
      <c r="I54" s="5"/>
      <c r="J54" s="5"/>
      <c r="S54" s="2">
        <v>601059909</v>
      </c>
      <c r="T54" s="2">
        <v>601007973</v>
      </c>
      <c r="U54" s="2">
        <v>601010475</v>
      </c>
    </row>
    <row r="55" spans="1:23" s="2" customFormat="1" x14ac:dyDescent="0.25">
      <c r="A55" s="2" t="s">
        <v>25</v>
      </c>
      <c r="B55" s="2">
        <v>48295</v>
      </c>
      <c r="C55" s="2">
        <v>48533</v>
      </c>
      <c r="D55" s="2">
        <v>50165</v>
      </c>
      <c r="E55" s="2">
        <v>51028</v>
      </c>
      <c r="F55" s="2">
        <v>53447</v>
      </c>
      <c r="I55" s="5"/>
      <c r="J55" s="5"/>
      <c r="S55" s="2">
        <f>S54-S53</f>
        <v>43414</v>
      </c>
      <c r="T55" s="2">
        <f>T54-S53</f>
        <v>-8522</v>
      </c>
    </row>
    <row r="56" spans="1:23" s="2" customFormat="1" x14ac:dyDescent="0.25">
      <c r="I56" s="5"/>
      <c r="J56" s="5"/>
      <c r="S56" s="2">
        <f>S55/4</f>
        <v>10853.5</v>
      </c>
    </row>
    <row r="57" spans="1:23" s="2" customFormat="1" x14ac:dyDescent="0.25">
      <c r="A57" s="2" t="s">
        <v>39</v>
      </c>
      <c r="D57" s="2">
        <v>118078631</v>
      </c>
      <c r="E57" s="2">
        <v>118871603</v>
      </c>
      <c r="F57" s="2">
        <v>119198034</v>
      </c>
      <c r="I57" s="5"/>
      <c r="J57" s="5"/>
    </row>
    <row r="58" spans="1:23" s="2" customFormat="1" x14ac:dyDescent="0.25">
      <c r="A58" s="2" t="s">
        <v>37</v>
      </c>
      <c r="D58" s="2">
        <v>115403104</v>
      </c>
      <c r="E58" s="2">
        <v>116148880</v>
      </c>
      <c r="F58" s="2">
        <v>116345195</v>
      </c>
      <c r="I58" s="5"/>
      <c r="J58" s="5"/>
    </row>
    <row r="59" spans="1:23" s="2" customFormat="1" x14ac:dyDescent="0.25">
      <c r="A59" s="2" t="s">
        <v>38</v>
      </c>
      <c r="D59" s="2">
        <v>2675527</v>
      </c>
      <c r="E59" s="2">
        <v>2722723</v>
      </c>
      <c r="F59" s="2">
        <v>2852839</v>
      </c>
      <c r="I59" s="5"/>
      <c r="J59" s="5"/>
    </row>
    <row r="60" spans="1:23" s="3" customFormat="1" x14ac:dyDescent="0.25">
      <c r="A60" s="4"/>
      <c r="B60" s="4"/>
      <c r="C60" s="4"/>
      <c r="D60" s="4"/>
      <c r="E60" s="4"/>
      <c r="F60" s="4"/>
      <c r="G60" s="4"/>
      <c r="H60" s="4"/>
      <c r="I60" s="6"/>
      <c r="J60" s="6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x14ac:dyDescent="0.25">
      <c r="B61" s="2" t="s">
        <v>15</v>
      </c>
      <c r="C61" s="2" t="s">
        <v>1</v>
      </c>
      <c r="D61" s="2" t="s">
        <v>19</v>
      </c>
    </row>
    <row r="62" spans="1:23" x14ac:dyDescent="0.25">
      <c r="A62" s="2" t="s">
        <v>36</v>
      </c>
      <c r="B62" s="2">
        <v>32</v>
      </c>
      <c r="C62" s="2">
        <v>48</v>
      </c>
      <c r="D62" s="2">
        <v>64</v>
      </c>
      <c r="E62" s="2">
        <v>128</v>
      </c>
      <c r="F62" s="2">
        <v>256</v>
      </c>
    </row>
    <row r="63" spans="1:23" x14ac:dyDescent="0.25">
      <c r="A63" s="2" t="s">
        <v>20</v>
      </c>
      <c r="B63" s="2">
        <v>455702</v>
      </c>
      <c r="C63" s="2">
        <v>1500763</v>
      </c>
      <c r="D63" s="2">
        <v>3520053</v>
      </c>
      <c r="E63" s="2">
        <v>27738559</v>
      </c>
      <c r="F63" s="2">
        <v>220301800</v>
      </c>
    </row>
    <row r="64" spans="1:23" x14ac:dyDescent="0.25">
      <c r="A64" s="2" t="s">
        <v>21</v>
      </c>
      <c r="B64" s="2">
        <v>445536</v>
      </c>
      <c r="C64" s="2">
        <v>1464368</v>
      </c>
      <c r="D64" s="2">
        <v>3247510</v>
      </c>
      <c r="E64" s="2">
        <v>25578070</v>
      </c>
      <c r="F64" s="2">
        <v>202865650</v>
      </c>
    </row>
    <row r="65" spans="1:23" x14ac:dyDescent="0.25">
      <c r="A65" s="2" t="s">
        <v>22</v>
      </c>
      <c r="B65" s="2">
        <v>10166</v>
      </c>
      <c r="C65" s="2">
        <v>36395</v>
      </c>
      <c r="D65" s="2">
        <v>272543</v>
      </c>
      <c r="E65" s="2">
        <v>2160489</v>
      </c>
      <c r="F65" s="2">
        <v>17436150</v>
      </c>
    </row>
    <row r="66" spans="1:23" x14ac:dyDescent="0.25">
      <c r="A66" s="2" t="s">
        <v>23</v>
      </c>
      <c r="B66" s="2">
        <v>396561</v>
      </c>
      <c r="C66" s="2">
        <v>1287557</v>
      </c>
      <c r="D66" s="2">
        <v>3005147</v>
      </c>
      <c r="E66" s="2">
        <v>23553916</v>
      </c>
      <c r="F66" s="2">
        <v>186663833</v>
      </c>
      <c r="K66" s="1">
        <v>592686846</v>
      </c>
    </row>
    <row r="67" spans="1:23" x14ac:dyDescent="0.25">
      <c r="A67" s="2" t="s">
        <v>24</v>
      </c>
      <c r="B67" s="2">
        <v>392531</v>
      </c>
      <c r="C67" s="2">
        <v>1281384</v>
      </c>
      <c r="D67" s="2">
        <v>2993225</v>
      </c>
      <c r="E67" s="2">
        <v>23503751</v>
      </c>
      <c r="F67" s="2">
        <v>186395153</v>
      </c>
      <c r="K67" s="1">
        <v>592334492</v>
      </c>
    </row>
    <row r="68" spans="1:23" x14ac:dyDescent="0.25">
      <c r="A68" s="2" t="s">
        <v>25</v>
      </c>
      <c r="B68" s="2">
        <v>4030</v>
      </c>
      <c r="C68" s="2">
        <v>6173</v>
      </c>
      <c r="D68" s="2">
        <v>11922</v>
      </c>
      <c r="E68" s="2">
        <v>50165</v>
      </c>
      <c r="F68" s="2">
        <v>268680</v>
      </c>
      <c r="K68" s="1">
        <f>K66-K67</f>
        <v>352354</v>
      </c>
    </row>
    <row r="70" spans="1:23" x14ac:dyDescent="0.25">
      <c r="A70" s="2" t="s">
        <v>39</v>
      </c>
      <c r="B70" s="2">
        <v>753769</v>
      </c>
      <c r="C70" s="2">
        <v>2268268</v>
      </c>
      <c r="D70" s="2">
        <v>15191218</v>
      </c>
      <c r="E70" s="2">
        <v>118078631</v>
      </c>
      <c r="F70" s="2">
        <v>945671325</v>
      </c>
    </row>
    <row r="71" spans="1:23" x14ac:dyDescent="0.25">
      <c r="A71" s="2" t="s">
        <v>37</v>
      </c>
      <c r="B71" s="2">
        <v>543280</v>
      </c>
      <c r="C71" s="2">
        <v>1943329</v>
      </c>
      <c r="D71" s="2">
        <v>14558935</v>
      </c>
      <c r="E71" s="2">
        <v>115403104</v>
      </c>
      <c r="F71" s="2">
        <v>931322731</v>
      </c>
    </row>
    <row r="72" spans="1:23" x14ac:dyDescent="0.25">
      <c r="A72" s="2" t="s">
        <v>38</v>
      </c>
      <c r="B72" s="2">
        <v>210489</v>
      </c>
      <c r="C72" s="2">
        <v>324939</v>
      </c>
      <c r="D72" s="2">
        <v>632283</v>
      </c>
      <c r="E72" s="2">
        <v>2675527</v>
      </c>
      <c r="F72" s="2">
        <v>14348594</v>
      </c>
    </row>
    <row r="74" spans="1:23" x14ac:dyDescent="0.25">
      <c r="A74" s="2" t="s">
        <v>13</v>
      </c>
      <c r="B74" s="2">
        <v>19</v>
      </c>
      <c r="C74" s="2">
        <v>58</v>
      </c>
      <c r="D74" s="2">
        <v>152</v>
      </c>
      <c r="E74" s="2">
        <v>1185</v>
      </c>
      <c r="F74" s="2">
        <v>9459</v>
      </c>
    </row>
    <row r="75" spans="1:23" s="3" customFormat="1" x14ac:dyDescent="0.25">
      <c r="A75" s="4"/>
      <c r="B75" s="4"/>
      <c r="C75" s="4"/>
      <c r="D75" s="4"/>
      <c r="E75" s="4"/>
      <c r="F75" s="4"/>
      <c r="G75" s="4"/>
      <c r="H75" s="4"/>
      <c r="I75" s="6"/>
      <c r="J75" s="6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x14ac:dyDescent="0.25">
      <c r="B76" s="2" t="s">
        <v>15</v>
      </c>
      <c r="C76" s="2" t="s">
        <v>0</v>
      </c>
      <c r="D76" s="2" t="s">
        <v>1</v>
      </c>
      <c r="E76" s="2" t="s">
        <v>19</v>
      </c>
    </row>
    <row r="77" spans="1:23" x14ac:dyDescent="0.25">
      <c r="B77" s="2" t="s">
        <v>49</v>
      </c>
      <c r="C77" s="2" t="s">
        <v>50</v>
      </c>
      <c r="D77" s="2" t="s">
        <v>51</v>
      </c>
      <c r="E77" s="2" t="s">
        <v>52</v>
      </c>
    </row>
    <row r="78" spans="1:23" x14ac:dyDescent="0.25">
      <c r="A78" s="2" t="s">
        <v>48</v>
      </c>
      <c r="B78" s="2">
        <v>352354</v>
      </c>
      <c r="C78" s="2">
        <v>54490</v>
      </c>
      <c r="D78" s="2">
        <v>11154</v>
      </c>
      <c r="E78" s="2">
        <v>1734234</v>
      </c>
    </row>
    <row r="79" spans="1:23" x14ac:dyDescent="0.25">
      <c r="A79" s="2" t="s">
        <v>54</v>
      </c>
      <c r="B79" s="2">
        <v>4</v>
      </c>
      <c r="C79" s="2">
        <v>4</v>
      </c>
      <c r="D79" s="2">
        <v>41</v>
      </c>
      <c r="E79" s="2">
        <v>41</v>
      </c>
    </row>
    <row r="80" spans="1:23" x14ac:dyDescent="0.25">
      <c r="A80" s="2" t="s">
        <v>53</v>
      </c>
      <c r="B80" s="2">
        <f>B78/B79</f>
        <v>88088.5</v>
      </c>
      <c r="C80" s="2">
        <f>C78/C79</f>
        <v>13622.5</v>
      </c>
      <c r="D80" s="2">
        <f>D78/D79</f>
        <v>272.04878048780489</v>
      </c>
      <c r="E80" s="2">
        <f>E78/E79</f>
        <v>42298.390243902439</v>
      </c>
    </row>
    <row r="81" spans="1:23" s="3" customFormat="1" x14ac:dyDescent="0.25">
      <c r="A81" s="4"/>
      <c r="B81" s="4"/>
      <c r="C81" s="4"/>
      <c r="D81" s="4"/>
      <c r="E81" s="4"/>
      <c r="F81" s="4"/>
      <c r="G81" s="4"/>
      <c r="H81" s="4"/>
      <c r="I81" s="6"/>
      <c r="J81" s="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x14ac:dyDescent="0.25">
      <c r="B82" s="2" t="s">
        <v>49</v>
      </c>
      <c r="C82" s="2" t="s">
        <v>50</v>
      </c>
      <c r="D82" s="2" t="s">
        <v>51</v>
      </c>
      <c r="E82" s="2" t="s">
        <v>52</v>
      </c>
    </row>
    <row r="83" spans="1:23" x14ac:dyDescent="0.25">
      <c r="A83" s="2" t="s">
        <v>48</v>
      </c>
      <c r="B83" s="2">
        <f>B86-B85</f>
        <v>461</v>
      </c>
      <c r="C83" s="2">
        <f>C86-C85</f>
        <v>783</v>
      </c>
      <c r="D83" s="2">
        <f>D86-D85</f>
        <v>79</v>
      </c>
      <c r="E83" s="2">
        <f>E86-E85</f>
        <v>73</v>
      </c>
    </row>
    <row r="85" spans="1:23" x14ac:dyDescent="0.25">
      <c r="B85" s="2">
        <v>371546</v>
      </c>
      <c r="C85" s="2">
        <v>370663</v>
      </c>
      <c r="D85" s="2">
        <v>41921</v>
      </c>
      <c r="E85" s="2">
        <v>43731</v>
      </c>
    </row>
    <row r="86" spans="1:23" x14ac:dyDescent="0.25">
      <c r="B86" s="2">
        <v>372007</v>
      </c>
      <c r="C86" s="2">
        <v>371446</v>
      </c>
      <c r="D86" s="2">
        <v>42000</v>
      </c>
      <c r="E86" s="2">
        <v>43804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32D6E-B0A1-4285-BD83-E578FF643ACA}">
  <dimension ref="A1:AB46"/>
  <sheetViews>
    <sheetView topLeftCell="E1" workbookViewId="0">
      <selection activeCell="X37" sqref="X37"/>
    </sheetView>
  </sheetViews>
  <sheetFormatPr defaultColWidth="9.125" defaultRowHeight="13.8" x14ac:dyDescent="0.25"/>
  <cols>
    <col min="1" max="1" width="23.125" style="2" bestFit="1" customWidth="1"/>
    <col min="2" max="2" width="15.125" style="2" bestFit="1" customWidth="1"/>
    <col min="3" max="4" width="13.25" style="2" bestFit="1" customWidth="1"/>
    <col min="5" max="5" width="16.625" style="2" bestFit="1" customWidth="1"/>
    <col min="6" max="8" width="13.25" style="2" bestFit="1" customWidth="1"/>
    <col min="9" max="9" width="13" style="7" bestFit="1" customWidth="1"/>
    <col min="10" max="11" width="13" style="2" bestFit="1" customWidth="1"/>
    <col min="12" max="15" width="9.125" style="2"/>
    <col min="16" max="16" width="19.625" style="2" bestFit="1" customWidth="1"/>
    <col min="17" max="17" width="15.125" style="2" bestFit="1" customWidth="1"/>
    <col min="18" max="18" width="13" style="2" bestFit="1" customWidth="1"/>
    <col min="19" max="19" width="21.625" style="2" bestFit="1" customWidth="1"/>
    <col min="20" max="21" width="13" style="2" bestFit="1" customWidth="1"/>
    <col min="22" max="22" width="9.125" style="2"/>
    <col min="23" max="23" width="19.625" style="2" bestFit="1" customWidth="1"/>
    <col min="24" max="24" width="15.125" style="2" bestFit="1" customWidth="1"/>
    <col min="25" max="25" width="13" style="2" bestFit="1" customWidth="1"/>
    <col min="26" max="26" width="21.625" style="2" bestFit="1" customWidth="1"/>
    <col min="27" max="28" width="13" style="2" bestFit="1" customWidth="1"/>
    <col min="29" max="16384" width="9.125" style="2"/>
  </cols>
  <sheetData>
    <row r="1" spans="1:28" x14ac:dyDescent="0.25">
      <c r="A1" s="5"/>
      <c r="B1" s="5" t="s">
        <v>15</v>
      </c>
      <c r="C1" s="5" t="s">
        <v>0</v>
      </c>
      <c r="D1" s="5" t="s">
        <v>1</v>
      </c>
      <c r="E1" s="5" t="s">
        <v>35</v>
      </c>
      <c r="F1" s="5"/>
      <c r="G1" s="5"/>
      <c r="H1" s="5"/>
      <c r="I1" s="5"/>
      <c r="J1" s="5"/>
      <c r="K1" s="5"/>
      <c r="Q1" s="2" t="s">
        <v>15</v>
      </c>
      <c r="R1" s="2" t="s">
        <v>0</v>
      </c>
      <c r="S1" s="2" t="s">
        <v>19</v>
      </c>
      <c r="X1" s="2" t="s">
        <v>15</v>
      </c>
      <c r="Y1" s="2" t="s">
        <v>1</v>
      </c>
      <c r="Z1" s="2" t="s">
        <v>19</v>
      </c>
    </row>
    <row r="2" spans="1:28" x14ac:dyDescent="0.25">
      <c r="A2" s="5" t="s">
        <v>16</v>
      </c>
      <c r="B2" s="5">
        <v>1</v>
      </c>
      <c r="C2" s="5">
        <v>2</v>
      </c>
      <c r="D2" s="5">
        <v>5</v>
      </c>
      <c r="E2" s="5">
        <v>10</v>
      </c>
      <c r="F2" s="5">
        <v>20</v>
      </c>
      <c r="G2" s="5">
        <v>50</v>
      </c>
      <c r="H2" s="5">
        <v>100</v>
      </c>
      <c r="I2" s="5">
        <v>200</v>
      </c>
      <c r="J2" s="5">
        <v>500</v>
      </c>
      <c r="K2" s="5">
        <v>1000</v>
      </c>
      <c r="P2" s="2" t="s">
        <v>26</v>
      </c>
      <c r="Q2" s="2">
        <v>1</v>
      </c>
      <c r="R2" s="2">
        <v>2</v>
      </c>
      <c r="S2" s="2">
        <v>4</v>
      </c>
      <c r="T2" s="2">
        <v>8</v>
      </c>
      <c r="U2" s="2">
        <v>16</v>
      </c>
      <c r="W2" s="2" t="s">
        <v>36</v>
      </c>
      <c r="X2" s="2">
        <v>32</v>
      </c>
      <c r="Y2" s="2">
        <v>48</v>
      </c>
      <c r="Z2" s="2">
        <v>64</v>
      </c>
      <c r="AA2" s="2">
        <v>128</v>
      </c>
      <c r="AB2" s="2">
        <v>256</v>
      </c>
    </row>
    <row r="3" spans="1:28" x14ac:dyDescent="0.25">
      <c r="A3" s="5" t="s">
        <v>2</v>
      </c>
      <c r="B3" s="5">
        <v>621906751</v>
      </c>
      <c r="C3" s="5">
        <v>610679011</v>
      </c>
      <c r="D3" s="5">
        <v>603921619</v>
      </c>
      <c r="E3" s="5">
        <v>601677318</v>
      </c>
      <c r="F3" s="5">
        <v>600536047</v>
      </c>
      <c r="G3" s="5">
        <v>599810851</v>
      </c>
      <c r="H3" s="5">
        <v>599494549</v>
      </c>
      <c r="I3" s="5">
        <v>599292157</v>
      </c>
      <c r="J3" s="5">
        <v>599155325</v>
      </c>
      <c r="K3" s="5">
        <v>599086777</v>
      </c>
      <c r="P3" s="2" t="s">
        <v>2</v>
      </c>
      <c r="Q3" s="2">
        <v>598143022</v>
      </c>
      <c r="R3" s="2">
        <v>599333326</v>
      </c>
      <c r="S3" s="2">
        <v>601662699</v>
      </c>
      <c r="T3" s="2">
        <v>604126563</v>
      </c>
      <c r="U3" s="2">
        <v>607783072</v>
      </c>
      <c r="W3" s="2" t="s">
        <v>20</v>
      </c>
      <c r="X3" s="2">
        <v>455702</v>
      </c>
      <c r="Y3" s="2">
        <v>1500763</v>
      </c>
      <c r="Z3" s="2">
        <v>3520053</v>
      </c>
      <c r="AA3" s="2">
        <v>27738559</v>
      </c>
      <c r="AB3" s="2">
        <v>220301800</v>
      </c>
    </row>
    <row r="4" spans="1:28" x14ac:dyDescent="0.25">
      <c r="A4" s="5" t="s">
        <v>3</v>
      </c>
      <c r="B4" s="5">
        <v>12258</v>
      </c>
      <c r="C4" s="5">
        <v>6020</v>
      </c>
      <c r="D4" s="5">
        <v>2382</v>
      </c>
      <c r="E4" s="5">
        <v>1187</v>
      </c>
      <c r="F4" s="5">
        <v>593</v>
      </c>
      <c r="G4" s="5">
        <v>237</v>
      </c>
      <c r="H4" s="5">
        <v>119</v>
      </c>
      <c r="I4" s="5">
        <v>59</v>
      </c>
      <c r="J4" s="5">
        <v>23</v>
      </c>
      <c r="K4" s="5">
        <v>11</v>
      </c>
      <c r="P4" s="2" t="s">
        <v>3</v>
      </c>
      <c r="Q4" s="2">
        <v>3</v>
      </c>
      <c r="R4" s="2">
        <v>1182</v>
      </c>
      <c r="S4" s="2">
        <v>1187</v>
      </c>
      <c r="T4" s="2">
        <v>1191</v>
      </c>
      <c r="U4" s="2">
        <v>1199</v>
      </c>
      <c r="W4" s="2" t="s">
        <v>21</v>
      </c>
      <c r="X4" s="2">
        <v>445536</v>
      </c>
      <c r="Y4" s="2">
        <v>1464368</v>
      </c>
      <c r="Z4" s="2">
        <v>3247510</v>
      </c>
      <c r="AA4" s="2">
        <v>25578070</v>
      </c>
      <c r="AB4" s="2">
        <v>202865650</v>
      </c>
    </row>
    <row r="5" spans="1:28" x14ac:dyDescent="0.25">
      <c r="A5" s="5" t="s">
        <v>5</v>
      </c>
      <c r="B5" s="5">
        <v>10426488</v>
      </c>
      <c r="C5" s="5">
        <v>5291454</v>
      </c>
      <c r="D5" s="5">
        <v>2251769</v>
      </c>
      <c r="E5" s="5">
        <v>1255091</v>
      </c>
      <c r="F5" s="5">
        <v>746656</v>
      </c>
      <c r="G5" s="5">
        <v>413529</v>
      </c>
      <c r="H5" s="5">
        <v>265770</v>
      </c>
      <c r="I5" s="5">
        <v>133881</v>
      </c>
      <c r="J5" s="5">
        <v>56118</v>
      </c>
      <c r="K5" s="5">
        <v>29221</v>
      </c>
      <c r="P5" s="2" t="s">
        <v>5</v>
      </c>
      <c r="Q5" s="2">
        <v>3371</v>
      </c>
      <c r="R5" s="2">
        <v>807060</v>
      </c>
      <c r="S5" s="2">
        <v>1255091</v>
      </c>
      <c r="T5" s="2">
        <v>1316881</v>
      </c>
      <c r="U5" s="2">
        <v>1475473</v>
      </c>
      <c r="W5" s="2" t="s">
        <v>22</v>
      </c>
      <c r="X5" s="2">
        <v>10166</v>
      </c>
      <c r="Y5" s="2">
        <v>36395</v>
      </c>
      <c r="Z5" s="2">
        <v>272543</v>
      </c>
      <c r="AA5" s="2">
        <v>2160489</v>
      </c>
      <c r="AB5" s="2">
        <v>17436150</v>
      </c>
    </row>
    <row r="6" spans="1:28" x14ac:dyDescent="0.25">
      <c r="A6" s="5" t="s">
        <v>8</v>
      </c>
      <c r="B6" s="5">
        <f t="shared" ref="B6:J6" si="0">B5/B4</f>
        <v>850.58639255996081</v>
      </c>
      <c r="C6" s="5">
        <f t="shared" si="0"/>
        <v>878.97906976744184</v>
      </c>
      <c r="D6" s="5">
        <f t="shared" si="0"/>
        <v>945.3270361041142</v>
      </c>
      <c r="E6" s="5">
        <f t="shared" si="0"/>
        <v>1057.3639427127212</v>
      </c>
      <c r="F6" s="5">
        <f t="shared" si="0"/>
        <v>1259.1163575042158</v>
      </c>
      <c r="G6" s="5">
        <f t="shared" si="0"/>
        <v>1744.8481012658228</v>
      </c>
      <c r="H6" s="5">
        <f t="shared" si="0"/>
        <v>2233.3613445378151</v>
      </c>
      <c r="I6" s="5">
        <f t="shared" si="0"/>
        <v>2269.1694915254238</v>
      </c>
      <c r="J6" s="5">
        <f t="shared" si="0"/>
        <v>2439.913043478261</v>
      </c>
      <c r="K6" s="5">
        <f>K5/K4</f>
        <v>2656.4545454545455</v>
      </c>
      <c r="P6" s="2" t="s">
        <v>8</v>
      </c>
      <c r="Q6" s="2">
        <f>Q5/Q4</f>
        <v>1123.6666666666667</v>
      </c>
      <c r="R6" s="2">
        <f>R5/R4</f>
        <v>682.79187817258878</v>
      </c>
      <c r="S6" s="2">
        <f>S5/S4</f>
        <v>1057.3639427127212</v>
      </c>
      <c r="T6" s="2">
        <f>T5/T4</f>
        <v>1105.6935348446684</v>
      </c>
      <c r="U6" s="2">
        <f>U5/U4</f>
        <v>1230.5863219349458</v>
      </c>
      <c r="W6" s="2" t="s">
        <v>23</v>
      </c>
      <c r="X6" s="2">
        <v>396561</v>
      </c>
      <c r="Y6" s="2">
        <v>1287557</v>
      </c>
      <c r="Z6" s="2">
        <v>3005147</v>
      </c>
      <c r="AA6" s="2">
        <v>23553916</v>
      </c>
      <c r="AB6" s="2">
        <v>186663833</v>
      </c>
    </row>
    <row r="7" spans="1:28" x14ac:dyDescent="0.25">
      <c r="A7" s="5" t="s">
        <v>6</v>
      </c>
      <c r="B7" s="5">
        <v>1830</v>
      </c>
      <c r="C7" s="5">
        <v>2080</v>
      </c>
      <c r="D7" s="5">
        <v>2143</v>
      </c>
      <c r="E7" s="5">
        <v>2696</v>
      </c>
      <c r="F7" s="5">
        <v>2737</v>
      </c>
      <c r="G7" s="5">
        <v>2978</v>
      </c>
      <c r="H7" s="5">
        <v>3092</v>
      </c>
      <c r="I7" s="5">
        <v>3060</v>
      </c>
      <c r="J7" s="5">
        <v>3671</v>
      </c>
      <c r="K7" s="5">
        <v>3791</v>
      </c>
      <c r="P7" s="2" t="s">
        <v>6</v>
      </c>
      <c r="Q7" s="2">
        <v>1602</v>
      </c>
      <c r="R7" s="2">
        <v>2239</v>
      </c>
      <c r="S7" s="2">
        <v>2726</v>
      </c>
      <c r="T7" s="2">
        <v>2738</v>
      </c>
      <c r="U7" s="2">
        <v>2345</v>
      </c>
      <c r="W7" s="2" t="s">
        <v>24</v>
      </c>
      <c r="X7" s="2">
        <v>392531</v>
      </c>
      <c r="Y7" s="2">
        <v>1281384</v>
      </c>
      <c r="Z7" s="2">
        <v>2993225</v>
      </c>
      <c r="AA7" s="2">
        <v>23503751</v>
      </c>
      <c r="AB7" s="2">
        <v>186395153</v>
      </c>
    </row>
    <row r="8" spans="1:28" x14ac:dyDescent="0.25">
      <c r="A8" s="5" t="s">
        <v>7</v>
      </c>
      <c r="B8" s="5">
        <v>247</v>
      </c>
      <c r="C8" s="5">
        <v>247</v>
      </c>
      <c r="D8" s="5">
        <v>353</v>
      </c>
      <c r="E8" s="5">
        <v>353</v>
      </c>
      <c r="F8" s="5">
        <v>561</v>
      </c>
      <c r="G8" s="5">
        <v>1342</v>
      </c>
      <c r="H8" s="5">
        <v>2122</v>
      </c>
      <c r="I8" s="5">
        <v>2123</v>
      </c>
      <c r="J8" s="5">
        <v>2128</v>
      </c>
      <c r="K8" s="5">
        <v>2136</v>
      </c>
      <c r="P8" s="2" t="s">
        <v>7</v>
      </c>
      <c r="Q8" s="2">
        <v>722</v>
      </c>
      <c r="R8" s="2">
        <v>411</v>
      </c>
      <c r="S8" s="2">
        <v>353</v>
      </c>
      <c r="T8" s="2">
        <v>405</v>
      </c>
      <c r="U8" s="2">
        <v>457</v>
      </c>
      <c r="W8" s="2" t="s">
        <v>25</v>
      </c>
      <c r="X8" s="2">
        <v>4030</v>
      </c>
      <c r="Y8" s="2">
        <v>6173</v>
      </c>
      <c r="Z8" s="2">
        <v>11922</v>
      </c>
      <c r="AA8" s="2">
        <v>50165</v>
      </c>
      <c r="AB8" s="2">
        <v>268680</v>
      </c>
    </row>
    <row r="9" spans="1:28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28" x14ac:dyDescent="0.25">
      <c r="A10" s="5" t="s">
        <v>4</v>
      </c>
      <c r="B10" s="5">
        <v>12</v>
      </c>
      <c r="C10" s="5">
        <v>12</v>
      </c>
      <c r="D10" s="5">
        <v>9</v>
      </c>
      <c r="E10" s="5">
        <v>11</v>
      </c>
      <c r="F10" s="5">
        <v>12</v>
      </c>
      <c r="G10" s="5">
        <v>9</v>
      </c>
      <c r="H10" s="5">
        <v>10</v>
      </c>
      <c r="I10" s="5">
        <v>11</v>
      </c>
      <c r="J10" s="5">
        <v>11</v>
      </c>
      <c r="K10" s="5">
        <v>11</v>
      </c>
      <c r="P10" s="2" t="s">
        <v>4</v>
      </c>
      <c r="Q10" s="2">
        <v>3</v>
      </c>
      <c r="R10" s="2">
        <v>5</v>
      </c>
      <c r="S10" s="2">
        <v>11</v>
      </c>
      <c r="T10" s="2">
        <v>23</v>
      </c>
      <c r="U10" s="2">
        <v>46</v>
      </c>
      <c r="W10" s="2" t="s">
        <v>42</v>
      </c>
    </row>
    <row r="11" spans="1:28" x14ac:dyDescent="0.25">
      <c r="A11" s="5" t="s">
        <v>9</v>
      </c>
      <c r="B11" s="5">
        <v>11178</v>
      </c>
      <c r="C11" s="5">
        <v>11504</v>
      </c>
      <c r="D11" s="5">
        <v>10850</v>
      </c>
      <c r="E11" s="5">
        <v>12948</v>
      </c>
      <c r="F11" s="5">
        <v>14719</v>
      </c>
      <c r="G11" s="5">
        <v>12504</v>
      </c>
      <c r="H11" s="5">
        <v>15894</v>
      </c>
      <c r="I11" s="5">
        <v>19194</v>
      </c>
      <c r="J11" s="5">
        <v>19227</v>
      </c>
      <c r="K11" s="5">
        <v>19302</v>
      </c>
      <c r="P11" s="2" t="s">
        <v>9</v>
      </c>
      <c r="Q11" s="2">
        <v>5614</v>
      </c>
      <c r="R11" s="2">
        <v>7715</v>
      </c>
      <c r="S11" s="2">
        <v>12948</v>
      </c>
      <c r="T11" s="2">
        <v>28007</v>
      </c>
      <c r="U11" s="2">
        <v>60561</v>
      </c>
      <c r="W11" s="2" t="s">
        <v>40</v>
      </c>
    </row>
    <row r="12" spans="1:28" x14ac:dyDescent="0.25">
      <c r="A12" s="5" t="s">
        <v>10</v>
      </c>
      <c r="B12" s="5">
        <f t="shared" ref="B12:J12" si="1">B11/B10</f>
        <v>931.5</v>
      </c>
      <c r="C12" s="5">
        <f t="shared" si="1"/>
        <v>958.66666666666663</v>
      </c>
      <c r="D12" s="5">
        <f t="shared" si="1"/>
        <v>1205.5555555555557</v>
      </c>
      <c r="E12" s="5">
        <f t="shared" si="1"/>
        <v>1177.090909090909</v>
      </c>
      <c r="F12" s="5">
        <f t="shared" si="1"/>
        <v>1226.5833333333333</v>
      </c>
      <c r="G12" s="5">
        <f t="shared" si="1"/>
        <v>1389.3333333333333</v>
      </c>
      <c r="H12" s="5">
        <f t="shared" si="1"/>
        <v>1589.4</v>
      </c>
      <c r="I12" s="5">
        <f t="shared" si="1"/>
        <v>1744.909090909091</v>
      </c>
      <c r="J12" s="5">
        <f t="shared" si="1"/>
        <v>1747.909090909091</v>
      </c>
      <c r="K12" s="5">
        <f>K11/K10</f>
        <v>1754.7272727272727</v>
      </c>
      <c r="P12" s="2" t="s">
        <v>10</v>
      </c>
      <c r="Q12" s="2">
        <f>Q11/Q10</f>
        <v>1871.3333333333333</v>
      </c>
      <c r="R12" s="2">
        <f>R11/R10</f>
        <v>1543</v>
      </c>
      <c r="S12" s="2">
        <f>S11/S10</f>
        <v>1177.090909090909</v>
      </c>
      <c r="T12" s="2">
        <f>T11/T10</f>
        <v>1217.695652173913</v>
      </c>
      <c r="U12" s="2">
        <f>U11/U10</f>
        <v>1316.5434782608695</v>
      </c>
      <c r="W12" s="2" t="s">
        <v>43</v>
      </c>
    </row>
    <row r="13" spans="1:28" x14ac:dyDescent="0.25">
      <c r="A13" s="5" t="s">
        <v>11</v>
      </c>
      <c r="B13" s="5">
        <v>1855</v>
      </c>
      <c r="C13" s="5">
        <v>2530</v>
      </c>
      <c r="D13" s="5">
        <v>2590</v>
      </c>
      <c r="E13" s="5">
        <v>2538</v>
      </c>
      <c r="F13" s="5">
        <v>2566</v>
      </c>
      <c r="G13" s="5">
        <v>2540</v>
      </c>
      <c r="H13" s="5">
        <v>2584</v>
      </c>
      <c r="I13" s="5">
        <v>2705</v>
      </c>
      <c r="J13" s="5">
        <v>2681</v>
      </c>
      <c r="K13" s="5">
        <v>2675</v>
      </c>
      <c r="P13" s="2" t="s">
        <v>11</v>
      </c>
      <c r="Q13" s="2">
        <v>1939</v>
      </c>
      <c r="R13" s="2">
        <v>2600</v>
      </c>
      <c r="S13" s="2">
        <v>2553</v>
      </c>
      <c r="T13" s="2">
        <v>2557</v>
      </c>
      <c r="U13" s="2">
        <v>2537</v>
      </c>
      <c r="W13" s="2" t="s">
        <v>41</v>
      </c>
    </row>
    <row r="14" spans="1:28" x14ac:dyDescent="0.25">
      <c r="A14" s="5" t="s">
        <v>12</v>
      </c>
      <c r="B14" s="5">
        <v>249</v>
      </c>
      <c r="C14" s="5">
        <v>311</v>
      </c>
      <c r="D14" s="5">
        <v>438</v>
      </c>
      <c r="E14" s="5">
        <v>546</v>
      </c>
      <c r="F14" s="5">
        <v>481</v>
      </c>
      <c r="G14" s="5">
        <v>616</v>
      </c>
      <c r="H14" s="5">
        <v>690</v>
      </c>
      <c r="I14" s="5">
        <v>1138</v>
      </c>
      <c r="J14" s="5">
        <v>1134</v>
      </c>
      <c r="K14" s="5">
        <v>1139</v>
      </c>
      <c r="P14" s="2" t="s">
        <v>12</v>
      </c>
      <c r="Q14" s="2">
        <v>1818</v>
      </c>
      <c r="R14" s="2">
        <v>663</v>
      </c>
      <c r="S14" s="2">
        <v>543</v>
      </c>
      <c r="T14" s="2">
        <v>737</v>
      </c>
      <c r="U14" s="2">
        <v>363</v>
      </c>
    </row>
    <row r="15" spans="1:28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W15" s="2" t="s">
        <v>13</v>
      </c>
      <c r="X15" s="2">
        <v>1179</v>
      </c>
      <c r="Y15" s="2">
        <v>58</v>
      </c>
      <c r="Z15" s="2">
        <v>1185</v>
      </c>
      <c r="AA15" s="2">
        <v>1190</v>
      </c>
      <c r="AB15" s="2">
        <v>1198</v>
      </c>
    </row>
    <row r="16" spans="1:28" x14ac:dyDescent="0.25">
      <c r="A16" s="5" t="s">
        <v>20</v>
      </c>
      <c r="B16" s="5">
        <v>28469080</v>
      </c>
      <c r="C16" s="5">
        <v>28057315</v>
      </c>
      <c r="D16" s="5">
        <v>27817190</v>
      </c>
      <c r="E16" s="5">
        <v>27738559</v>
      </c>
      <c r="F16" s="5">
        <v>27699462</v>
      </c>
      <c r="G16" s="5">
        <v>27675693</v>
      </c>
      <c r="H16" s="5">
        <v>27667990</v>
      </c>
      <c r="I16" s="5">
        <v>27664186</v>
      </c>
      <c r="J16" s="5">
        <v>27661837</v>
      </c>
      <c r="K16" s="5">
        <v>27661054</v>
      </c>
      <c r="P16" s="2" t="s">
        <v>20</v>
      </c>
      <c r="Q16" s="2">
        <v>27718143</v>
      </c>
      <c r="R16" s="2">
        <v>27737131</v>
      </c>
      <c r="S16" s="2">
        <v>27738559</v>
      </c>
      <c r="T16" s="2">
        <v>27741250</v>
      </c>
      <c r="U16" s="2">
        <v>27747348</v>
      </c>
    </row>
    <row r="17" spans="1:28" x14ac:dyDescent="0.25">
      <c r="A17" s="5" t="s">
        <v>21</v>
      </c>
      <c r="B17" s="5">
        <v>26015588</v>
      </c>
      <c r="C17" s="5">
        <v>25766352</v>
      </c>
      <c r="D17" s="5">
        <v>25623615</v>
      </c>
      <c r="E17" s="5">
        <v>25578070</v>
      </c>
      <c r="F17" s="5">
        <v>25555414</v>
      </c>
      <c r="G17" s="5">
        <v>25541936</v>
      </c>
      <c r="H17" s="5">
        <v>25539157</v>
      </c>
      <c r="I17" s="5">
        <v>25538624</v>
      </c>
      <c r="J17" s="5">
        <v>25538201</v>
      </c>
      <c r="K17" s="5">
        <v>25538102</v>
      </c>
      <c r="P17" s="2" t="s">
        <v>21</v>
      </c>
      <c r="Q17" s="2">
        <v>25594309</v>
      </c>
      <c r="R17" s="2">
        <v>25605607</v>
      </c>
      <c r="S17" s="2">
        <v>25578070</v>
      </c>
      <c r="T17" s="2">
        <v>25567346</v>
      </c>
      <c r="U17" s="2">
        <v>25569797</v>
      </c>
    </row>
    <row r="18" spans="1:28" x14ac:dyDescent="0.25">
      <c r="A18" s="5" t="s">
        <v>22</v>
      </c>
      <c r="B18" s="5">
        <v>2453492</v>
      </c>
      <c r="C18" s="5">
        <v>2290963</v>
      </c>
      <c r="D18" s="5">
        <v>2193575</v>
      </c>
      <c r="E18" s="5">
        <v>2160489</v>
      </c>
      <c r="F18" s="5">
        <v>2144048</v>
      </c>
      <c r="G18" s="5">
        <v>2133757</v>
      </c>
      <c r="H18" s="5">
        <v>2128833</v>
      </c>
      <c r="I18" s="5">
        <v>2125562</v>
      </c>
      <c r="J18" s="5">
        <v>2123636</v>
      </c>
      <c r="K18" s="5">
        <v>2122952</v>
      </c>
      <c r="P18" s="2" t="s">
        <v>22</v>
      </c>
      <c r="Q18" s="2">
        <v>2123834</v>
      </c>
      <c r="R18" s="2">
        <v>2131524</v>
      </c>
      <c r="S18" s="2">
        <v>2160489</v>
      </c>
      <c r="T18" s="2">
        <v>2173904</v>
      </c>
      <c r="U18" s="2">
        <v>2177551</v>
      </c>
    </row>
    <row r="19" spans="1:28" x14ac:dyDescent="0.25">
      <c r="A19" s="5" t="s">
        <v>23</v>
      </c>
      <c r="B19" s="5">
        <v>24027699</v>
      </c>
      <c r="C19" s="5">
        <v>23760640</v>
      </c>
      <c r="D19" s="5">
        <v>23604919</v>
      </c>
      <c r="E19" s="5">
        <v>23553916</v>
      </c>
      <c r="F19" s="5">
        <v>23528549</v>
      </c>
      <c r="G19" s="5">
        <v>23513150</v>
      </c>
      <c r="H19" s="5">
        <v>23508148</v>
      </c>
      <c r="I19" s="5">
        <v>23505675</v>
      </c>
      <c r="J19" s="5">
        <v>23504154</v>
      </c>
      <c r="K19" s="5">
        <v>23503647</v>
      </c>
      <c r="P19" s="2" t="s">
        <v>23</v>
      </c>
      <c r="Q19" s="2">
        <v>23543213</v>
      </c>
      <c r="R19" s="2">
        <v>23551154</v>
      </c>
      <c r="S19" s="2">
        <v>23553916</v>
      </c>
      <c r="T19" s="2">
        <v>23559512</v>
      </c>
      <c r="U19" s="2">
        <v>23571216</v>
      </c>
    </row>
    <row r="20" spans="1:28" x14ac:dyDescent="0.25">
      <c r="A20" s="5" t="s">
        <v>24</v>
      </c>
      <c r="B20" s="5">
        <v>23964644</v>
      </c>
      <c r="C20" s="5">
        <v>23704439</v>
      </c>
      <c r="D20" s="5">
        <v>23553256</v>
      </c>
      <c r="E20" s="5">
        <v>23503751</v>
      </c>
      <c r="F20" s="5">
        <v>23479181</v>
      </c>
      <c r="G20" s="5">
        <v>23464444</v>
      </c>
      <c r="H20" s="5">
        <v>23459775</v>
      </c>
      <c r="I20" s="5">
        <v>23457904</v>
      </c>
      <c r="J20" s="5">
        <v>23456745</v>
      </c>
      <c r="K20" s="5">
        <v>23456355</v>
      </c>
      <c r="P20" s="2" t="s">
        <v>24</v>
      </c>
      <c r="Q20" s="2">
        <v>23494918</v>
      </c>
      <c r="R20" s="2">
        <v>23502621</v>
      </c>
      <c r="S20" s="2">
        <v>23503751</v>
      </c>
      <c r="T20" s="2">
        <v>23508484</v>
      </c>
      <c r="U20" s="2">
        <v>23517769</v>
      </c>
    </row>
    <row r="21" spans="1:28" x14ac:dyDescent="0.25">
      <c r="A21" s="5" t="s">
        <v>25</v>
      </c>
      <c r="B21" s="5">
        <v>63055</v>
      </c>
      <c r="C21" s="5">
        <v>56201</v>
      </c>
      <c r="D21" s="5">
        <v>51663</v>
      </c>
      <c r="E21" s="5">
        <v>50165</v>
      </c>
      <c r="F21" s="5">
        <v>49368</v>
      </c>
      <c r="G21" s="5">
        <v>48706</v>
      </c>
      <c r="H21" s="5">
        <v>48373</v>
      </c>
      <c r="I21" s="5">
        <v>47771</v>
      </c>
      <c r="J21" s="5">
        <v>47409</v>
      </c>
      <c r="K21" s="5">
        <v>47292</v>
      </c>
      <c r="P21" s="2" t="s">
        <v>25</v>
      </c>
      <c r="Q21" s="2">
        <v>48295</v>
      </c>
      <c r="R21" s="2">
        <v>48533</v>
      </c>
      <c r="S21" s="2">
        <v>50165</v>
      </c>
      <c r="T21" s="2">
        <v>51028</v>
      </c>
      <c r="U21" s="2">
        <v>53447</v>
      </c>
    </row>
    <row r="22" spans="1:28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28" x14ac:dyDescent="0.25">
      <c r="A23" s="2" t="s">
        <v>42</v>
      </c>
      <c r="B23" s="2">
        <v>707503</v>
      </c>
      <c r="C23" s="2">
        <v>345046</v>
      </c>
      <c r="D23" s="2">
        <v>134065</v>
      </c>
      <c r="E23" s="2">
        <v>65492</v>
      </c>
      <c r="F23" s="2">
        <v>31475</v>
      </c>
      <c r="G23" s="2">
        <v>11250</v>
      </c>
      <c r="H23" s="2">
        <v>5199</v>
      </c>
      <c r="I23" s="2">
        <v>2793</v>
      </c>
      <c r="J23" s="2">
        <v>1337</v>
      </c>
      <c r="K23" s="2">
        <v>859</v>
      </c>
      <c r="P23" s="2" t="s">
        <v>39</v>
      </c>
      <c r="S23" s="2">
        <v>118078631</v>
      </c>
      <c r="T23" s="2">
        <v>118871603</v>
      </c>
      <c r="U23" s="2">
        <v>119198034</v>
      </c>
    </row>
    <row r="24" spans="1:28" x14ac:dyDescent="0.25">
      <c r="A24" s="2" t="s">
        <v>40</v>
      </c>
      <c r="B24" s="2">
        <v>101721</v>
      </c>
      <c r="C24" s="2">
        <v>52488</v>
      </c>
      <c r="D24" s="2">
        <v>23421</v>
      </c>
      <c r="E24" s="2">
        <v>13269</v>
      </c>
      <c r="F24" s="2">
        <v>8143</v>
      </c>
      <c r="G24" s="2">
        <v>4740</v>
      </c>
      <c r="H24" s="2">
        <v>3041</v>
      </c>
      <c r="I24" s="2">
        <v>1597</v>
      </c>
      <c r="J24" s="2">
        <v>704</v>
      </c>
      <c r="K24" s="2">
        <v>399</v>
      </c>
      <c r="P24" s="2" t="s">
        <v>37</v>
      </c>
      <c r="S24" s="2">
        <v>115403104</v>
      </c>
      <c r="T24" s="2">
        <v>116148880</v>
      </c>
      <c r="U24" s="2">
        <v>116345195</v>
      </c>
    </row>
    <row r="25" spans="1:28" x14ac:dyDescent="0.25">
      <c r="A25" s="2" t="s">
        <v>43</v>
      </c>
      <c r="B25" s="1">
        <v>510091</v>
      </c>
      <c r="C25" s="2">
        <v>249461</v>
      </c>
      <c r="D25" s="2">
        <v>98147</v>
      </c>
      <c r="E25" s="2">
        <v>48276</v>
      </c>
      <c r="F25" s="2">
        <v>23577</v>
      </c>
      <c r="G25" s="2">
        <v>8847</v>
      </c>
      <c r="H25" s="2">
        <v>4170</v>
      </c>
      <c r="I25" s="2">
        <v>2269</v>
      </c>
      <c r="J25" s="2">
        <v>1100</v>
      </c>
      <c r="K25" s="2">
        <v>710</v>
      </c>
      <c r="P25" s="2" t="s">
        <v>38</v>
      </c>
      <c r="S25" s="2">
        <v>2675527</v>
      </c>
      <c r="T25" s="2">
        <v>2722723</v>
      </c>
      <c r="U25" s="2">
        <v>2852839</v>
      </c>
    </row>
    <row r="26" spans="1:28" x14ac:dyDescent="0.25">
      <c r="A26" s="2" t="s">
        <v>41</v>
      </c>
      <c r="B26" s="2">
        <v>14795</v>
      </c>
      <c r="C26" s="2">
        <v>8405</v>
      </c>
      <c r="D26" s="2">
        <v>4027</v>
      </c>
      <c r="E26" s="2">
        <v>2853</v>
      </c>
      <c r="F26" s="2">
        <v>2165</v>
      </c>
      <c r="G26" s="2">
        <v>1559</v>
      </c>
      <c r="H26" s="2">
        <v>1213</v>
      </c>
      <c r="I26" s="2">
        <v>621</v>
      </c>
      <c r="J26" s="2">
        <v>269</v>
      </c>
      <c r="K26" s="2">
        <v>152</v>
      </c>
    </row>
    <row r="27" spans="1:28" x14ac:dyDescent="0.25">
      <c r="P27" s="2" t="s">
        <v>14</v>
      </c>
      <c r="Q27" s="2">
        <f>Q11/(Q11+Q5) %</f>
        <v>62.481914301613806</v>
      </c>
      <c r="R27" s="2">
        <f>R11/(R11+R5) %</f>
        <v>0.94688717744162498</v>
      </c>
      <c r="S27" s="2">
        <f>S11/(S11+S5) %</f>
        <v>1.021104240484717</v>
      </c>
      <c r="T27" s="2">
        <f>T11/(T11+T5) %</f>
        <v>2.0824782435414697</v>
      </c>
      <c r="U27" s="2">
        <f>U11/(U11+U5) %</f>
        <v>3.942686164498963</v>
      </c>
    </row>
    <row r="28" spans="1:28" x14ac:dyDescent="0.25">
      <c r="A28" s="5" t="s">
        <v>14</v>
      </c>
      <c r="B28" s="5">
        <f t="shared" ref="B28:K28" si="2">B11/(B11+B5)</f>
        <v>1.0709290755232062E-3</v>
      </c>
      <c r="C28" s="5">
        <f t="shared" si="2"/>
        <v>2.1693552918955797E-3</v>
      </c>
      <c r="D28" s="5">
        <f t="shared" si="2"/>
        <v>4.7953278921462252E-3</v>
      </c>
      <c r="E28" s="5">
        <f t="shared" si="2"/>
        <v>1.021104240484717E-2</v>
      </c>
      <c r="F28" s="5">
        <f t="shared" si="2"/>
        <v>1.9332129371203415E-2</v>
      </c>
      <c r="G28" s="5">
        <f t="shared" si="2"/>
        <v>2.9349839096971361E-2</v>
      </c>
      <c r="H28" s="5">
        <f t="shared" si="2"/>
        <v>5.6428936605316976E-2</v>
      </c>
      <c r="I28" s="5">
        <f t="shared" si="2"/>
        <v>0.12538951494365508</v>
      </c>
      <c r="J28" s="5">
        <f t="shared" si="2"/>
        <v>0.2551861437388015</v>
      </c>
      <c r="K28" s="5">
        <f t="shared" si="2"/>
        <v>0.39779073841271151</v>
      </c>
      <c r="P28" s="2" t="s">
        <v>13</v>
      </c>
      <c r="Q28" s="2">
        <v>1179</v>
      </c>
      <c r="R28" s="2">
        <v>1181</v>
      </c>
      <c r="S28" s="2">
        <v>1185</v>
      </c>
      <c r="T28" s="2">
        <v>1190</v>
      </c>
      <c r="U28" s="2">
        <v>1198</v>
      </c>
    </row>
    <row r="29" spans="1:28" x14ac:dyDescent="0.25">
      <c r="A29" s="5" t="s">
        <v>13</v>
      </c>
      <c r="B29" s="5">
        <v>12260</v>
      </c>
      <c r="C29" s="5">
        <v>6019</v>
      </c>
      <c r="D29" s="5">
        <v>2380</v>
      </c>
      <c r="E29" s="5">
        <v>1185</v>
      </c>
      <c r="F29" s="5">
        <v>592</v>
      </c>
      <c r="G29" s="5">
        <v>236</v>
      </c>
      <c r="H29" s="5">
        <v>118</v>
      </c>
      <c r="I29" s="5">
        <v>59</v>
      </c>
      <c r="J29" s="5">
        <v>23</v>
      </c>
      <c r="K29" s="5">
        <v>11</v>
      </c>
    </row>
    <row r="30" spans="1:28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P30" s="4"/>
      <c r="Q30" s="4"/>
      <c r="R30" s="4"/>
      <c r="S30" s="4"/>
      <c r="T30" s="4"/>
      <c r="U30" s="4"/>
      <c r="W30" s="4"/>
      <c r="X30" s="4"/>
      <c r="Y30" s="4"/>
      <c r="Z30" s="4"/>
      <c r="AA30" s="4"/>
      <c r="AB30" s="4"/>
    </row>
    <row r="31" spans="1:28" x14ac:dyDescent="0.25">
      <c r="B31" s="2" t="s">
        <v>15</v>
      </c>
      <c r="C31" s="2" t="s">
        <v>0</v>
      </c>
      <c r="D31" s="2" t="s">
        <v>1</v>
      </c>
      <c r="X31" s="2" t="s">
        <v>15</v>
      </c>
      <c r="Y31" s="2" t="s">
        <v>1</v>
      </c>
      <c r="Z31" s="2" t="s">
        <v>19</v>
      </c>
    </row>
    <row r="32" spans="1:28" x14ac:dyDescent="0.25">
      <c r="A32" s="2" t="s">
        <v>16</v>
      </c>
      <c r="B32" s="2">
        <v>1</v>
      </c>
      <c r="C32" s="2">
        <v>2</v>
      </c>
      <c r="D32" s="2">
        <v>5</v>
      </c>
      <c r="E32" s="2">
        <v>10</v>
      </c>
      <c r="F32" s="2">
        <v>20</v>
      </c>
      <c r="G32" s="2">
        <v>50</v>
      </c>
      <c r="H32" s="2">
        <v>100</v>
      </c>
      <c r="I32" s="5">
        <v>200</v>
      </c>
      <c r="J32" s="5">
        <v>500</v>
      </c>
      <c r="K32" s="2">
        <v>1000</v>
      </c>
      <c r="P32" s="2" t="s">
        <v>26</v>
      </c>
      <c r="Q32" s="2">
        <v>1</v>
      </c>
      <c r="R32" s="2">
        <v>2</v>
      </c>
      <c r="S32" s="5">
        <v>4</v>
      </c>
      <c r="T32" s="2">
        <v>8</v>
      </c>
      <c r="U32" s="2">
        <v>16</v>
      </c>
      <c r="W32" s="2" t="s">
        <v>36</v>
      </c>
      <c r="X32" s="2">
        <v>32</v>
      </c>
      <c r="Y32" s="2">
        <v>48</v>
      </c>
      <c r="Z32" s="2">
        <v>64</v>
      </c>
      <c r="AA32" s="2">
        <v>128</v>
      </c>
      <c r="AB32" s="2">
        <v>256</v>
      </c>
    </row>
    <row r="33" spans="1:28" x14ac:dyDescent="0.25">
      <c r="A33" s="2" t="s">
        <v>3</v>
      </c>
      <c r="B33" s="2">
        <v>12258</v>
      </c>
      <c r="C33" s="2">
        <v>6020</v>
      </c>
      <c r="D33" s="2">
        <v>2382</v>
      </c>
      <c r="E33" s="2">
        <v>1187</v>
      </c>
      <c r="F33" s="2">
        <v>593</v>
      </c>
      <c r="G33" s="2">
        <v>237</v>
      </c>
      <c r="H33" s="2">
        <v>119</v>
      </c>
      <c r="I33" s="5">
        <v>59</v>
      </c>
      <c r="J33" s="5">
        <v>23</v>
      </c>
      <c r="K33" s="2">
        <v>11</v>
      </c>
      <c r="P33" s="2" t="s">
        <v>3</v>
      </c>
      <c r="Q33" s="2">
        <v>3</v>
      </c>
      <c r="R33" s="2">
        <v>1182</v>
      </c>
      <c r="S33" s="5">
        <v>1187</v>
      </c>
      <c r="T33" s="2">
        <v>1191</v>
      </c>
      <c r="U33" s="2">
        <v>1199</v>
      </c>
      <c r="W33" s="2" t="s">
        <v>27</v>
      </c>
      <c r="X33" s="2">
        <f>(X5+X8)/(X3+X6)%</f>
        <v>1.6656830109954324</v>
      </c>
      <c r="Y33" s="2">
        <f>(Y5+Y8)/(Y3+Y6)%</f>
        <v>1.5266540425776094</v>
      </c>
      <c r="Z33" s="2">
        <f>(Z5+Z8)/(Z3+Z6)%</f>
        <v>4.3594832342303684</v>
      </c>
      <c r="AA33" s="2">
        <f>(AA5+AA8)/(AA3+AA6)%</f>
        <v>4.3098992591018472</v>
      </c>
      <c r="AB33" s="2">
        <f>(AB5+AB8)/(AB3+AB6)%</f>
        <v>4.3504484320915617</v>
      </c>
    </row>
    <row r="34" spans="1:28" x14ac:dyDescent="0.25">
      <c r="A34" s="5" t="s">
        <v>5</v>
      </c>
      <c r="B34" s="5">
        <v>10426488</v>
      </c>
      <c r="C34" s="5">
        <v>5291454</v>
      </c>
      <c r="D34" s="5">
        <v>2251769</v>
      </c>
      <c r="E34" s="5">
        <v>1255091</v>
      </c>
      <c r="F34" s="5">
        <v>746656</v>
      </c>
      <c r="G34" s="5">
        <v>413529</v>
      </c>
      <c r="H34" s="5">
        <v>265770</v>
      </c>
      <c r="I34" s="5">
        <v>133881</v>
      </c>
      <c r="J34" s="5">
        <v>56118</v>
      </c>
      <c r="K34" s="5">
        <v>29221</v>
      </c>
      <c r="P34" s="2" t="s">
        <v>5</v>
      </c>
      <c r="Q34" s="2">
        <v>3371</v>
      </c>
      <c r="R34" s="2">
        <v>807060</v>
      </c>
      <c r="S34" s="2">
        <v>1255091</v>
      </c>
      <c r="T34" s="2">
        <v>1316881</v>
      </c>
      <c r="U34" s="2">
        <v>1475473</v>
      </c>
      <c r="W34" s="2" t="s">
        <v>28</v>
      </c>
      <c r="X34" s="2">
        <f>X5/X3%</f>
        <v>2.2308438409311346</v>
      </c>
      <c r="Y34" s="2">
        <f>Y5/Y3%</f>
        <v>2.4250997659190694</v>
      </c>
      <c r="Z34" s="2">
        <f>Z5/Z3%</f>
        <v>7.7425822849826416</v>
      </c>
      <c r="AA34" s="2">
        <f>AA5/AA3%</f>
        <v>7.7887571593030476</v>
      </c>
      <c r="AB34" s="2">
        <f>AB5/AB3%</f>
        <v>7.9146652455858284</v>
      </c>
    </row>
    <row r="35" spans="1:28" x14ac:dyDescent="0.25">
      <c r="A35" s="2" t="s">
        <v>8</v>
      </c>
      <c r="B35" s="2">
        <v>850.58639255996081</v>
      </c>
      <c r="C35" s="2">
        <v>878.97906976744184</v>
      </c>
      <c r="D35" s="2">
        <v>945.3270361041142</v>
      </c>
      <c r="E35" s="2">
        <v>1057.3639427127212</v>
      </c>
      <c r="F35" s="2">
        <v>1259.1163575042158</v>
      </c>
      <c r="G35" s="2">
        <v>1744.8481012658228</v>
      </c>
      <c r="H35" s="2">
        <v>2233.3613445378151</v>
      </c>
      <c r="I35" s="7">
        <v>2269.1694915254238</v>
      </c>
      <c r="J35" s="2">
        <v>2439.913043478261</v>
      </c>
      <c r="K35" s="2">
        <v>2656.4545454545455</v>
      </c>
      <c r="P35" s="2" t="s">
        <v>32</v>
      </c>
      <c r="Q35" s="2">
        <v>1123.6666666666667</v>
      </c>
      <c r="R35" s="2">
        <v>682.79187817258878</v>
      </c>
      <c r="S35" s="5">
        <v>1057.3639427127212</v>
      </c>
      <c r="T35" s="2">
        <v>1105.6935348446684</v>
      </c>
      <c r="U35" s="2">
        <v>1230.5863219349458</v>
      </c>
      <c r="W35" s="2" t="s">
        <v>29</v>
      </c>
      <c r="X35" s="2">
        <f>X8/X6%</f>
        <v>1.0162370984539579</v>
      </c>
      <c r="Y35" s="2">
        <f>Y8/Y6%</f>
        <v>0.47943508520399486</v>
      </c>
      <c r="Z35" s="2">
        <f>Z8/Z6%</f>
        <v>0.39671936181491285</v>
      </c>
      <c r="AA35" s="2">
        <f>AA8/AA6%</f>
        <v>0.21297944681470377</v>
      </c>
      <c r="AB35" s="2">
        <f>AB8/AB6%</f>
        <v>0.14393789931443227</v>
      </c>
    </row>
    <row r="37" spans="1:28" x14ac:dyDescent="0.25">
      <c r="A37" s="2" t="s">
        <v>4</v>
      </c>
      <c r="B37" s="2">
        <v>12</v>
      </c>
      <c r="C37" s="2">
        <v>12</v>
      </c>
      <c r="D37" s="2">
        <v>9</v>
      </c>
      <c r="E37" s="2">
        <v>11</v>
      </c>
      <c r="F37" s="2">
        <v>12</v>
      </c>
      <c r="G37" s="2">
        <v>9</v>
      </c>
      <c r="H37" s="2">
        <v>10</v>
      </c>
      <c r="I37" s="5">
        <v>11</v>
      </c>
      <c r="J37" s="5">
        <v>11</v>
      </c>
      <c r="K37" s="2">
        <v>11</v>
      </c>
      <c r="P37" s="2" t="s">
        <v>4</v>
      </c>
      <c r="Q37" s="2">
        <v>3</v>
      </c>
      <c r="R37" s="2">
        <v>5</v>
      </c>
      <c r="S37" s="2">
        <v>11</v>
      </c>
      <c r="T37" s="2">
        <v>23</v>
      </c>
      <c r="U37" s="2">
        <v>46</v>
      </c>
    </row>
    <row r="38" spans="1:28" x14ac:dyDescent="0.25">
      <c r="A38" s="5" t="s">
        <v>9</v>
      </c>
      <c r="B38" s="5">
        <v>11178</v>
      </c>
      <c r="C38" s="5">
        <v>11504</v>
      </c>
      <c r="D38" s="5">
        <v>10850</v>
      </c>
      <c r="E38" s="5">
        <v>12948</v>
      </c>
      <c r="F38" s="5">
        <v>14719</v>
      </c>
      <c r="G38" s="5">
        <v>12504</v>
      </c>
      <c r="H38" s="5">
        <v>15894</v>
      </c>
      <c r="I38" s="5">
        <v>19194</v>
      </c>
      <c r="J38" s="5">
        <v>19227</v>
      </c>
      <c r="K38" s="5">
        <v>19302</v>
      </c>
      <c r="P38" s="2" t="s">
        <v>9</v>
      </c>
      <c r="Q38" s="2">
        <v>5614</v>
      </c>
      <c r="R38" s="2">
        <v>7715</v>
      </c>
      <c r="S38" s="2">
        <v>12948</v>
      </c>
      <c r="T38" s="2">
        <v>28007</v>
      </c>
      <c r="U38" s="2">
        <v>60561</v>
      </c>
    </row>
    <row r="39" spans="1:28" x14ac:dyDescent="0.25">
      <c r="A39" s="2" t="s">
        <v>10</v>
      </c>
      <c r="B39" s="2">
        <v>931.5</v>
      </c>
      <c r="C39" s="2">
        <v>958.66666666666663</v>
      </c>
      <c r="D39" s="2">
        <v>1205.5555555555557</v>
      </c>
      <c r="E39" s="2">
        <v>1177.090909090909</v>
      </c>
      <c r="F39" s="2">
        <v>1226.5833333333333</v>
      </c>
      <c r="G39" s="2">
        <v>1389.3333333333333</v>
      </c>
      <c r="H39" s="2">
        <v>1589.4</v>
      </c>
      <c r="I39" s="7">
        <v>1744.909090909091</v>
      </c>
      <c r="J39" s="2">
        <v>1747.909090909091</v>
      </c>
      <c r="K39" s="2">
        <v>1754.7272727272727</v>
      </c>
      <c r="P39" s="2" t="s">
        <v>33</v>
      </c>
      <c r="Q39" s="2">
        <v>1871.3333333333333</v>
      </c>
      <c r="R39" s="2">
        <v>1543</v>
      </c>
      <c r="S39" s="5">
        <v>1177.090909090909</v>
      </c>
      <c r="T39" s="2">
        <v>1217.695652173913</v>
      </c>
      <c r="U39" s="2">
        <v>1316.5434782608695</v>
      </c>
    </row>
    <row r="41" spans="1:28" x14ac:dyDescent="0.25">
      <c r="A41" s="2" t="s">
        <v>45</v>
      </c>
      <c r="B41" s="2">
        <f>B24</f>
        <v>101721</v>
      </c>
      <c r="C41" s="2">
        <f t="shared" ref="C41:K41" si="3">C24</f>
        <v>52488</v>
      </c>
      <c r="D41" s="2">
        <f t="shared" si="3"/>
        <v>23421</v>
      </c>
      <c r="E41" s="2">
        <f t="shared" si="3"/>
        <v>13269</v>
      </c>
      <c r="F41" s="2">
        <f t="shared" si="3"/>
        <v>8143</v>
      </c>
      <c r="G41" s="2">
        <f t="shared" si="3"/>
        <v>4740</v>
      </c>
      <c r="H41" s="2">
        <f t="shared" si="3"/>
        <v>3041</v>
      </c>
      <c r="I41" s="2">
        <f t="shared" si="3"/>
        <v>1597</v>
      </c>
      <c r="J41" s="2">
        <f t="shared" si="3"/>
        <v>704</v>
      </c>
      <c r="K41" s="2">
        <f t="shared" si="3"/>
        <v>399</v>
      </c>
      <c r="P41" s="2" t="s">
        <v>27</v>
      </c>
      <c r="Q41" s="2">
        <f>(Q18+Q21)/(Q16+Q19) %</f>
        <v>4.2373615711609345</v>
      </c>
      <c r="R41" s="2">
        <f>(R18+R21)/(R16+R19) %</f>
        <v>4.2505944583641275</v>
      </c>
      <c r="S41" s="2">
        <f>(S18+S21)/(S16+S19) %</f>
        <v>4.3098992591018472</v>
      </c>
      <c r="T41" s="2">
        <f>(T18+T21)/(T16+T19) %</f>
        <v>4.3370349937492154</v>
      </c>
      <c r="U41" s="2">
        <f>(U18+U21)/(U16+U19) %</f>
        <v>4.3473507949287118</v>
      </c>
    </row>
    <row r="42" spans="1:28" x14ac:dyDescent="0.25">
      <c r="A42" s="2" t="s">
        <v>46</v>
      </c>
      <c r="B42" s="2">
        <f>B26</f>
        <v>14795</v>
      </c>
      <c r="C42" s="2">
        <f t="shared" ref="C42:K42" si="4">C26</f>
        <v>8405</v>
      </c>
      <c r="D42" s="2">
        <f t="shared" si="4"/>
        <v>4027</v>
      </c>
      <c r="E42" s="2">
        <f t="shared" si="4"/>
        <v>2853</v>
      </c>
      <c r="F42" s="2">
        <f t="shared" si="4"/>
        <v>2165</v>
      </c>
      <c r="G42" s="2">
        <f t="shared" si="4"/>
        <v>1559</v>
      </c>
      <c r="H42" s="2">
        <f t="shared" si="4"/>
        <v>1213</v>
      </c>
      <c r="I42" s="2">
        <f t="shared" si="4"/>
        <v>621</v>
      </c>
      <c r="J42" s="2">
        <f t="shared" si="4"/>
        <v>269</v>
      </c>
      <c r="K42" s="2">
        <f t="shared" si="4"/>
        <v>152</v>
      </c>
      <c r="P42" s="2" t="s">
        <v>28</v>
      </c>
      <c r="Q42" s="2">
        <f>Q18/Q16 %</f>
        <v>7.6622521212910986</v>
      </c>
      <c r="R42" s="2">
        <f>R18/R16 %</f>
        <v>7.6847313444205891</v>
      </c>
      <c r="S42" s="2">
        <f>S18/S16 %</f>
        <v>7.7887571593030476</v>
      </c>
      <c r="T42" s="2">
        <f>T18/T16 %</f>
        <v>7.8363592123642594</v>
      </c>
      <c r="U42" s="2">
        <f>U18/U16 %</f>
        <v>7.8477806239356642</v>
      </c>
    </row>
    <row r="43" spans="1:28" x14ac:dyDescent="0.25">
      <c r="A43" s="2" t="s">
        <v>44</v>
      </c>
      <c r="B43" s="2">
        <f>(B41+B42)/(B33)</f>
        <v>9.5053026594876808</v>
      </c>
      <c r="C43" s="2">
        <f t="shared" ref="C43:K43" si="5">(C41+C42)/(C33)</f>
        <v>10.115116279069767</v>
      </c>
      <c r="D43" s="2">
        <f t="shared" si="5"/>
        <v>11.523089840470194</v>
      </c>
      <c r="E43" s="2">
        <f t="shared" si="5"/>
        <v>13.582139848357203</v>
      </c>
      <c r="F43" s="2">
        <f t="shared" si="5"/>
        <v>17.382799325463743</v>
      </c>
      <c r="G43" s="2">
        <f t="shared" si="5"/>
        <v>26.578059071729957</v>
      </c>
      <c r="H43" s="2">
        <f t="shared" si="5"/>
        <v>35.747899159663866</v>
      </c>
      <c r="I43" s="2">
        <f t="shared" si="5"/>
        <v>37.593220338983052</v>
      </c>
      <c r="J43" s="2">
        <f t="shared" si="5"/>
        <v>42.304347826086953</v>
      </c>
      <c r="K43" s="2">
        <f t="shared" si="5"/>
        <v>50.090909090909093</v>
      </c>
      <c r="P43" s="2" t="s">
        <v>29</v>
      </c>
      <c r="Q43" s="2">
        <f>Q21/Q19%</f>
        <v>0.2051334284746946</v>
      </c>
      <c r="R43" s="2">
        <f>R21/R19%</f>
        <v>0.20607482758594334</v>
      </c>
      <c r="S43" s="2">
        <f>S21/S19%</f>
        <v>0.21297944681470377</v>
      </c>
      <c r="T43" s="2">
        <f>T21/T19%</f>
        <v>0.21659192261707289</v>
      </c>
      <c r="U43" s="2">
        <f>U21/U19%</f>
        <v>0.22674689332955925</v>
      </c>
    </row>
    <row r="45" spans="1:28" x14ac:dyDescent="0.25">
      <c r="A45" s="2" t="s">
        <v>13</v>
      </c>
      <c r="B45" s="2">
        <v>12260</v>
      </c>
      <c r="C45" s="2">
        <v>6019</v>
      </c>
      <c r="D45" s="2">
        <v>2380</v>
      </c>
      <c r="E45" s="2">
        <v>1185</v>
      </c>
      <c r="F45" s="2">
        <v>592</v>
      </c>
      <c r="G45" s="2">
        <v>236</v>
      </c>
      <c r="H45" s="2">
        <v>118</v>
      </c>
      <c r="I45" s="5">
        <v>59</v>
      </c>
      <c r="J45" s="5">
        <v>23</v>
      </c>
      <c r="K45" s="2">
        <v>11</v>
      </c>
      <c r="P45" s="2" t="s">
        <v>13</v>
      </c>
      <c r="Q45" s="2">
        <v>1179</v>
      </c>
      <c r="R45" s="2">
        <v>1181</v>
      </c>
      <c r="S45" s="5">
        <v>1185</v>
      </c>
      <c r="T45" s="2">
        <v>1190</v>
      </c>
      <c r="U45" s="2">
        <v>1198</v>
      </c>
    </row>
    <row r="46" spans="1:28" x14ac:dyDescent="0.25">
      <c r="A46" s="2" t="s">
        <v>17</v>
      </c>
      <c r="B46" s="2">
        <f>B3/$E$3 %</f>
        <v>103.36217311087005</v>
      </c>
      <c r="C46" s="2">
        <f>C3/$E$3 %</f>
        <v>101.49609977486305</v>
      </c>
      <c r="D46" s="2">
        <f>D3/$E$3 %</f>
        <v>100.37300741325271</v>
      </c>
      <c r="E46" s="2" t="s">
        <v>18</v>
      </c>
      <c r="F46" s="2">
        <f t="shared" ref="F46:K46" si="6">F3/$E$3 %</f>
        <v>99.810318427193891</v>
      </c>
      <c r="G46" s="2">
        <f t="shared" si="6"/>
        <v>99.68978936978975</v>
      </c>
      <c r="H46" s="2">
        <f t="shared" si="6"/>
        <v>99.637219330910526</v>
      </c>
      <c r="I46" s="2">
        <f t="shared" si="6"/>
        <v>99.603581366848204</v>
      </c>
      <c r="J46" s="2">
        <f t="shared" si="6"/>
        <v>99.580839608781801</v>
      </c>
      <c r="K46" s="2">
        <f t="shared" si="6"/>
        <v>99.569446791078803</v>
      </c>
      <c r="P46" s="2" t="s">
        <v>31</v>
      </c>
      <c r="Q46" s="2">
        <f>Q3/S3 %</f>
        <v>99.415008275259552</v>
      </c>
      <c r="R46" s="2">
        <f>R3/S3 %</f>
        <v>99.612844039713352</v>
      </c>
      <c r="S46" s="5" t="s">
        <v>30</v>
      </c>
      <c r="T46" s="2">
        <f>T3/S3 %</f>
        <v>100.40950918248632</v>
      </c>
      <c r="U46" s="2">
        <f>U3/S3 %</f>
        <v>101.01724321786483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</dc:creator>
  <cp:lastModifiedBy>彥宇 林</cp:lastModifiedBy>
  <dcterms:created xsi:type="dcterms:W3CDTF">2015-06-05T18:19:34Z</dcterms:created>
  <dcterms:modified xsi:type="dcterms:W3CDTF">2025-12-08T17:06:51Z</dcterms:modified>
</cp:coreProperties>
</file>