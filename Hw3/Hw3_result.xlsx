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ollo\Desktop\NYCU\semester5\mpd\Hw3\"/>
    </mc:Choice>
  </mc:AlternateContent>
  <xr:revisionPtr revIDLastSave="0" documentId="8_{D614A825-2540-463E-9D64-48FD6FFEC1DA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FIFO+LRU" sheetId="1" r:id="rId1"/>
    <sheet name="repor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2" l="1"/>
  <c r="B11" i="2"/>
  <c r="C5" i="2"/>
  <c r="D5" i="2"/>
  <c r="F5" i="2"/>
  <c r="G5" i="2"/>
  <c r="H5" i="2"/>
  <c r="J5" i="2"/>
  <c r="K5" i="2"/>
  <c r="L5" i="2"/>
  <c r="B26" i="2"/>
  <c r="C26" i="2"/>
  <c r="D26" i="2"/>
  <c r="F26" i="2"/>
  <c r="G26" i="2"/>
  <c r="H26" i="2"/>
  <c r="C6" i="2"/>
  <c r="D6" i="2"/>
  <c r="F6" i="2"/>
  <c r="G6" i="2"/>
  <c r="H6" i="2"/>
  <c r="J6" i="2"/>
  <c r="K6" i="2"/>
  <c r="L6" i="2"/>
  <c r="B27" i="2"/>
  <c r="C27" i="2"/>
  <c r="D27" i="2"/>
  <c r="F27" i="2"/>
  <c r="G27" i="2"/>
  <c r="H27" i="2"/>
  <c r="C7" i="2"/>
  <c r="D7" i="2"/>
  <c r="F7" i="2"/>
  <c r="G7" i="2"/>
  <c r="H7" i="2"/>
  <c r="J7" i="2"/>
  <c r="K7" i="2"/>
  <c r="L7" i="2"/>
  <c r="B28" i="2"/>
  <c r="C28" i="2"/>
  <c r="D28" i="2"/>
  <c r="F28" i="2"/>
  <c r="G28" i="2"/>
  <c r="H28" i="2"/>
  <c r="C8" i="2"/>
  <c r="D8" i="2"/>
  <c r="F8" i="2"/>
  <c r="G8" i="2"/>
  <c r="H8" i="2"/>
  <c r="J8" i="2"/>
  <c r="K8" i="2"/>
  <c r="L8" i="2"/>
  <c r="B29" i="2"/>
  <c r="C29" i="2"/>
  <c r="D29" i="2"/>
  <c r="G29" i="2"/>
  <c r="H29" i="2"/>
  <c r="C9" i="2"/>
  <c r="D9" i="2"/>
  <c r="F9" i="2"/>
  <c r="G9" i="2"/>
  <c r="H9" i="2"/>
  <c r="J9" i="2"/>
  <c r="K9" i="2"/>
  <c r="L9" i="2"/>
  <c r="B30" i="2"/>
  <c r="C30" i="2"/>
  <c r="D30" i="2"/>
  <c r="F30" i="2"/>
  <c r="G30" i="2"/>
  <c r="H30" i="2"/>
  <c r="C10" i="2"/>
  <c r="D10" i="2"/>
  <c r="F10" i="2"/>
  <c r="G10" i="2"/>
  <c r="H10" i="2"/>
  <c r="J10" i="2"/>
  <c r="K10" i="2"/>
  <c r="L10" i="2"/>
  <c r="B31" i="2"/>
  <c r="C31" i="2"/>
  <c r="D31" i="2"/>
  <c r="F31" i="2"/>
  <c r="G31" i="2"/>
  <c r="H31" i="2"/>
  <c r="C11" i="2"/>
  <c r="D11" i="2"/>
  <c r="F11" i="2"/>
  <c r="G11" i="2"/>
  <c r="H11" i="2"/>
  <c r="J11" i="2"/>
  <c r="K11" i="2"/>
  <c r="L11" i="2"/>
  <c r="B32" i="2"/>
  <c r="C32" i="2"/>
  <c r="D32" i="2"/>
  <c r="F32" i="2"/>
  <c r="G32" i="2"/>
  <c r="H32" i="2"/>
  <c r="B10" i="2"/>
  <c r="B7" i="2"/>
  <c r="B9" i="2"/>
  <c r="B8" i="2"/>
  <c r="B6" i="2"/>
  <c r="B5" i="2"/>
</calcChain>
</file>

<file path=xl/sharedStrings.xml><?xml version="1.0" encoding="utf-8"?>
<sst xmlns="http://schemas.openxmlformats.org/spreadsheetml/2006/main" count="227" uniqueCount="49">
  <si>
    <t>cnt_read</t>
    <phoneticPr fontId="1" type="noConversion"/>
  </si>
  <si>
    <t>cnt_read_hit</t>
    <phoneticPr fontId="1" type="noConversion"/>
  </si>
  <si>
    <t>cnt_read_miss</t>
    <phoneticPr fontId="1" type="noConversion"/>
  </si>
  <si>
    <t>cnt_read_miss_clean</t>
    <phoneticPr fontId="1" type="noConversion"/>
  </si>
  <si>
    <t>cnt_read_miss_dirty</t>
    <phoneticPr fontId="1" type="noConversion"/>
  </si>
  <si>
    <t>cnt_total</t>
    <phoneticPr fontId="1" type="noConversion"/>
  </si>
  <si>
    <t>cnt_write</t>
    <phoneticPr fontId="1" type="noConversion"/>
  </si>
  <si>
    <t>cnt_write_hit</t>
    <phoneticPr fontId="1" type="noConversion"/>
  </si>
  <si>
    <t>cnt_write_miss</t>
    <phoneticPr fontId="1" type="noConversion"/>
  </si>
  <si>
    <t>cnt_write_miss_clean</t>
    <phoneticPr fontId="1" type="noConversion"/>
  </si>
  <si>
    <t>cnt_write_miss_dirty</t>
    <phoneticPr fontId="1" type="noConversion"/>
  </si>
  <si>
    <t>lat_read_miss</t>
    <phoneticPr fontId="1" type="noConversion"/>
  </si>
  <si>
    <t>lat_write_miss</t>
    <phoneticPr fontId="1" type="noConversion"/>
  </si>
  <si>
    <t>lat_read_hit</t>
    <phoneticPr fontId="1" type="noConversion"/>
  </si>
  <si>
    <t>lat_write_hit</t>
    <phoneticPr fontId="1" type="noConversion"/>
  </si>
  <si>
    <t>lat_miss_wb</t>
    <phoneticPr fontId="1" type="noConversion"/>
  </si>
  <si>
    <t>lat_miss_total</t>
    <phoneticPr fontId="1" type="noConversion"/>
  </si>
  <si>
    <t>lat_miss_not_wb</t>
    <phoneticPr fontId="1" type="noConversion"/>
  </si>
  <si>
    <t>4KB</t>
    <phoneticPr fontId="1" type="noConversion"/>
  </si>
  <si>
    <t>4WAY</t>
    <phoneticPr fontId="1" type="noConversion"/>
  </si>
  <si>
    <t>slice LUTs</t>
    <phoneticPr fontId="1" type="noConversion"/>
  </si>
  <si>
    <t>slice Registers</t>
    <phoneticPr fontId="1" type="noConversion"/>
  </si>
  <si>
    <t>slice</t>
    <phoneticPr fontId="1" type="noConversion"/>
  </si>
  <si>
    <t>LUT logic</t>
    <phoneticPr fontId="1" type="noConversion"/>
  </si>
  <si>
    <t>LUT mem</t>
    <phoneticPr fontId="1" type="noConversion"/>
  </si>
  <si>
    <t>BRAM</t>
    <phoneticPr fontId="1" type="noConversion"/>
  </si>
  <si>
    <t>on-chip power (W)</t>
    <phoneticPr fontId="1" type="noConversion"/>
  </si>
  <si>
    <t>8WAY</t>
    <phoneticPr fontId="1" type="noConversion"/>
  </si>
  <si>
    <t>F7 muxes</t>
    <phoneticPr fontId="1" type="noConversion"/>
  </si>
  <si>
    <t>F8 muxes</t>
    <phoneticPr fontId="1" type="noConversion"/>
  </si>
  <si>
    <t>2WAY</t>
    <phoneticPr fontId="1" type="noConversion"/>
  </si>
  <si>
    <t>time (ms)</t>
    <phoneticPr fontId="1" type="noConversion"/>
  </si>
  <si>
    <t>FIFO</t>
    <phoneticPr fontId="1" type="noConversion"/>
  </si>
  <si>
    <t>LRU</t>
    <phoneticPr fontId="1" type="noConversion"/>
  </si>
  <si>
    <t>PLRU</t>
    <phoneticPr fontId="1" type="noConversion"/>
  </si>
  <si>
    <t>8KB</t>
    <phoneticPr fontId="1" type="noConversion"/>
  </si>
  <si>
    <t>wns</t>
    <phoneticPr fontId="1" type="noConversion"/>
  </si>
  <si>
    <t>total_speed (%)</t>
    <phoneticPr fontId="1" type="noConversion"/>
  </si>
  <si>
    <t>read hit (%)</t>
    <phoneticPr fontId="1" type="noConversion"/>
  </si>
  <si>
    <t>write hit (%)</t>
    <phoneticPr fontId="1" type="noConversion"/>
  </si>
  <si>
    <t>read dirty miss (%)</t>
    <phoneticPr fontId="1" type="noConversion"/>
  </si>
  <si>
    <t>avg read lat (clk)</t>
    <phoneticPr fontId="1" type="noConversion"/>
  </si>
  <si>
    <t>write dirty miss (%)</t>
    <phoneticPr fontId="1" type="noConversion"/>
  </si>
  <si>
    <t>avg write lat (clk)</t>
    <phoneticPr fontId="1" type="noConversion"/>
  </si>
  <si>
    <t>D Flip-Flop</t>
    <phoneticPr fontId="1" type="noConversion"/>
  </si>
  <si>
    <t>LUT (logic)</t>
    <phoneticPr fontId="1" type="noConversion"/>
  </si>
  <si>
    <t xml:space="preserve">LUT (mem) </t>
    <phoneticPr fontId="1" type="noConversion"/>
  </si>
  <si>
    <t>LUTs</t>
    <phoneticPr fontId="1" type="noConversion"/>
  </si>
  <si>
    <t>Power (W)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</si>
</sst>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新細明體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" fillId="5" borderId="0" xfId="0" applyFont="1" applyFill="1"/>
    <xf numFmtId="0" fontId="2" fillId="5" borderId="0" xfId="0" applyFont="1" applyFill="1"/>
    <xf numFmtId="0" fontId="0" fillId="5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2" fillId="0" borderId="17" xfId="0" applyFont="1" applyFill="1" applyBorder="1"/>
    <xf numFmtId="0" fontId="3" fillId="0" borderId="1" xfId="0" applyFont="1" applyFill="1" applyBorder="1"/>
    <xf numFmtId="0" fontId="3" fillId="0" borderId="17" xfId="0" applyFont="1" applyFill="1" applyBorder="1"/>
    <xf numFmtId="0" fontId="3" fillId="0" borderId="15" xfId="0" applyFont="1" applyFill="1" applyBorder="1"/>
    <xf numFmtId="0" fontId="3" fillId="0" borderId="16" xfId="0" applyFont="1" applyFill="1" applyBorder="1"/>
    <xf numFmtId="0" fontId="2" fillId="0" borderId="4" xfId="0" applyFont="1" applyFill="1" applyBorder="1"/>
    <xf numFmtId="0" fontId="2" fillId="0" borderId="2" xfId="0" applyFont="1" applyFill="1" applyBorder="1"/>
    <xf numFmtId="0" fontId="3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206829</xdr:colOff>
      <xdr:row>5</xdr:row>
      <xdr:rowOff>43543</xdr:rowOff>
    </xdr:from>
    <xdr:to>
      <xdr:col>20</xdr:col>
      <xdr:colOff>582813</xdr:colOff>
      <xdr:row>9</xdr:row>
      <xdr:rowOff>143001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4B556C9-A515-48B4-92E4-80E5B56E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1132114"/>
          <a:ext cx="6961842" cy="90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abSelected="1" zoomScaleNormal="100" workbookViewId="0">
      <selection activeCell="X64" sqref="X64"/>
    </sheetView>
  </sheetViews>
  <sheetFormatPr defaultRowHeight="15.75" x14ac:dyDescent="0.25"/>
  <cols>
    <col min="1" max="1" width="20.42578125" style="3" bestFit="1" customWidth="1"/>
    <col min="2" max="4" width="11.85546875" style="5" bestFit="1" customWidth="1"/>
    <col min="6" max="8" width="11.85546875" style="5" bestFit="1" customWidth="1"/>
    <col min="10" max="11" width="11.85546875" style="5" bestFit="1" customWidth="1"/>
    <col min="12" max="12" width="9" style="5"/>
    <col min="13" max="15" width="11.85546875" style="5" bestFit="1" customWidth="1"/>
    <col min="16" max="16" width="9" style="5"/>
    <col min="17" max="18" width="11.85546875" style="5" bestFit="1" customWidth="1"/>
    <col min="19" max="19" width="11.85546875" style="17" bestFit="1" customWidth="1"/>
    <col min="20" max="24" width="9" style="5"/>
    <col min="25" max="16384" width="9.140625" style="6"/>
  </cols>
  <sheetData>
    <row r="1" spans="1:24" s="4" customFormat="1" x14ac:dyDescent="0.25">
      <c r="A1" s="3"/>
      <c r="B1" s="3" t="s">
        <v>32</v>
      </c>
      <c r="C1" s="3" t="s">
        <v>32</v>
      </c>
      <c r="D1" s="3" t="s">
        <v>32</v>
      </c>
      <c r="F1" s="3" t="s">
        <v>33</v>
      </c>
      <c r="G1" s="3" t="s">
        <v>33</v>
      </c>
      <c r="H1" s="3" t="s">
        <v>33</v>
      </c>
      <c r="J1" s="3" t="s">
        <v>34</v>
      </c>
      <c r="K1" s="3" t="s">
        <v>34</v>
      </c>
      <c r="L1" s="3"/>
      <c r="M1" s="3" t="s">
        <v>32</v>
      </c>
      <c r="N1" s="3" t="s">
        <v>32</v>
      </c>
      <c r="O1" s="3" t="s">
        <v>32</v>
      </c>
      <c r="P1" s="3"/>
      <c r="Q1" s="3" t="s">
        <v>33</v>
      </c>
      <c r="R1" s="3" t="s">
        <v>33</v>
      </c>
      <c r="S1" s="16" t="s">
        <v>33</v>
      </c>
      <c r="T1" s="3"/>
      <c r="U1" s="3"/>
      <c r="V1" s="3"/>
      <c r="W1" s="3"/>
      <c r="X1" s="3"/>
    </row>
    <row r="2" spans="1:24" s="4" customFormat="1" x14ac:dyDescent="0.25">
      <c r="A2" s="3"/>
      <c r="B2" s="3" t="s">
        <v>18</v>
      </c>
      <c r="C2" s="3" t="s">
        <v>18</v>
      </c>
      <c r="D2" s="3" t="s">
        <v>18</v>
      </c>
      <c r="F2" s="3" t="s">
        <v>18</v>
      </c>
      <c r="G2" s="3" t="s">
        <v>18</v>
      </c>
      <c r="H2" s="3" t="s">
        <v>18</v>
      </c>
      <c r="J2" s="3" t="s">
        <v>18</v>
      </c>
      <c r="K2" s="3" t="s">
        <v>18</v>
      </c>
      <c r="L2" s="3"/>
      <c r="M2" s="3" t="s">
        <v>35</v>
      </c>
      <c r="N2" s="3" t="s">
        <v>35</v>
      </c>
      <c r="O2" s="3" t="s">
        <v>35</v>
      </c>
      <c r="P2" s="3"/>
      <c r="Q2" s="3" t="s">
        <v>35</v>
      </c>
      <c r="R2" s="3" t="s">
        <v>35</v>
      </c>
      <c r="S2" s="16" t="s">
        <v>35</v>
      </c>
      <c r="T2" s="3"/>
      <c r="U2" s="3"/>
      <c r="V2" s="3"/>
      <c r="W2" s="3"/>
      <c r="X2" s="3"/>
    </row>
    <row r="3" spans="1:24" s="4" customFormat="1" x14ac:dyDescent="0.25">
      <c r="A3" s="3"/>
      <c r="B3" s="3" t="s">
        <v>30</v>
      </c>
      <c r="C3" s="3" t="s">
        <v>19</v>
      </c>
      <c r="D3" s="3" t="s">
        <v>27</v>
      </c>
      <c r="F3" s="3" t="s">
        <v>30</v>
      </c>
      <c r="G3" s="3" t="s">
        <v>19</v>
      </c>
      <c r="H3" s="3" t="s">
        <v>27</v>
      </c>
      <c r="J3" s="3" t="s">
        <v>19</v>
      </c>
      <c r="K3" s="3" t="s">
        <v>27</v>
      </c>
      <c r="L3" s="3"/>
      <c r="M3" s="3" t="s">
        <v>30</v>
      </c>
      <c r="N3" s="3" t="s">
        <v>19</v>
      </c>
      <c r="O3" s="3" t="s">
        <v>27</v>
      </c>
      <c r="P3" s="3"/>
      <c r="Q3" s="3" t="s">
        <v>30</v>
      </c>
      <c r="R3" s="3" t="s">
        <v>19</v>
      </c>
      <c r="S3" s="16" t="s">
        <v>27</v>
      </c>
      <c r="T3" s="3"/>
      <c r="U3" s="3"/>
      <c r="V3" s="3"/>
      <c r="W3" s="3"/>
      <c r="X3" s="3"/>
    </row>
    <row r="4" spans="1:24" x14ac:dyDescent="0.25">
      <c r="A4" s="3" t="s">
        <v>5</v>
      </c>
      <c r="B4" s="5">
        <v>1502912270</v>
      </c>
      <c r="C4" s="5">
        <v>1502883983</v>
      </c>
      <c r="D4" s="5">
        <v>1502869923</v>
      </c>
      <c r="F4" s="5">
        <v>1502900789</v>
      </c>
      <c r="G4" s="5">
        <v>1515102228</v>
      </c>
      <c r="H4" s="5">
        <v>1515287270</v>
      </c>
      <c r="J4" s="5">
        <v>1502933677</v>
      </c>
      <c r="K4" s="5">
        <v>1502912401</v>
      </c>
      <c r="M4" s="5">
        <v>1258420041</v>
      </c>
      <c r="N4" s="5">
        <v>1433532005</v>
      </c>
      <c r="O4" s="5">
        <v>147159984</v>
      </c>
      <c r="Q4" s="5">
        <v>1307294052</v>
      </c>
      <c r="R4" s="5">
        <v>1497554773</v>
      </c>
      <c r="S4" s="17">
        <v>1499124731</v>
      </c>
    </row>
    <row r="5" spans="1:24" x14ac:dyDescent="0.25">
      <c r="A5" s="3" t="s">
        <v>31</v>
      </c>
      <c r="B5" s="5">
        <v>29475</v>
      </c>
      <c r="C5" s="5">
        <v>29474</v>
      </c>
      <c r="D5" s="5">
        <v>29474</v>
      </c>
      <c r="F5" s="5">
        <v>29474</v>
      </c>
      <c r="G5" s="5">
        <v>29718</v>
      </c>
      <c r="H5" s="5">
        <v>29722</v>
      </c>
      <c r="J5" s="5">
        <v>29475</v>
      </c>
      <c r="K5" s="5">
        <v>29475</v>
      </c>
      <c r="M5" s="5">
        <v>24585</v>
      </c>
      <c r="N5" s="5">
        <v>28087</v>
      </c>
      <c r="O5" s="5">
        <v>28848</v>
      </c>
      <c r="Q5" s="5">
        <v>25562</v>
      </c>
      <c r="R5" s="5">
        <v>29367</v>
      </c>
      <c r="S5" s="17">
        <v>29399</v>
      </c>
    </row>
    <row r="6" spans="1:24" s="9" customFormat="1" x14ac:dyDescent="0.25">
      <c r="A6" s="7"/>
      <c r="B6" s="8"/>
      <c r="C6" s="8"/>
      <c r="D6" s="8"/>
      <c r="F6" s="8"/>
      <c r="G6" s="8"/>
      <c r="H6" s="8"/>
      <c r="J6" s="8"/>
      <c r="K6" s="8"/>
      <c r="L6" s="8"/>
      <c r="M6" s="8"/>
      <c r="N6" s="8"/>
      <c r="O6" s="8"/>
      <c r="P6" s="8"/>
      <c r="Q6" s="8"/>
      <c r="R6" s="8"/>
      <c r="S6" s="18"/>
      <c r="T6" s="8"/>
      <c r="U6" s="8"/>
      <c r="V6" s="8"/>
      <c r="W6" s="8"/>
      <c r="X6" s="8"/>
    </row>
    <row r="7" spans="1:24" x14ac:dyDescent="0.25">
      <c r="A7" s="3" t="s">
        <v>0</v>
      </c>
      <c r="B7" s="5">
        <v>36272282</v>
      </c>
      <c r="C7" s="5">
        <v>36272882</v>
      </c>
      <c r="D7" s="5">
        <v>36272282</v>
      </c>
      <c r="F7" s="5">
        <v>36272282</v>
      </c>
      <c r="G7" s="5">
        <v>36272282</v>
      </c>
      <c r="H7" s="5">
        <v>36272282</v>
      </c>
      <c r="J7" s="5">
        <v>36272282</v>
      </c>
      <c r="K7" s="5">
        <v>36272282</v>
      </c>
      <c r="M7" s="5">
        <v>36272282</v>
      </c>
      <c r="N7" s="5">
        <v>36272282</v>
      </c>
      <c r="O7" s="5">
        <v>36272282</v>
      </c>
      <c r="Q7" s="5">
        <v>32672282</v>
      </c>
      <c r="R7" s="5">
        <v>36272282</v>
      </c>
      <c r="S7" s="17">
        <v>36272282</v>
      </c>
    </row>
    <row r="8" spans="1:24" x14ac:dyDescent="0.25">
      <c r="A8" s="3" t="s">
        <v>1</v>
      </c>
      <c r="B8" s="5">
        <v>28145087</v>
      </c>
      <c r="C8" s="5">
        <v>28145120</v>
      </c>
      <c r="D8" s="5">
        <v>28145095</v>
      </c>
      <c r="F8" s="5">
        <v>28145216</v>
      </c>
      <c r="G8" s="5">
        <v>27887545</v>
      </c>
      <c r="H8" s="5">
        <v>27887497</v>
      </c>
      <c r="J8" s="5">
        <v>28145076</v>
      </c>
      <c r="K8" s="5">
        <v>28145021</v>
      </c>
      <c r="M8" s="5">
        <v>30166166</v>
      </c>
      <c r="N8" s="5">
        <v>29235156</v>
      </c>
      <c r="O8" s="5">
        <v>28739250</v>
      </c>
      <c r="Q8" s="5">
        <v>30166296</v>
      </c>
      <c r="R8" s="5">
        <v>28193662</v>
      </c>
      <c r="S8" s="17">
        <v>28193456</v>
      </c>
    </row>
    <row r="9" spans="1:24" x14ac:dyDescent="0.25">
      <c r="A9" s="3" t="s">
        <v>2</v>
      </c>
      <c r="B9" s="5">
        <v>8127195</v>
      </c>
      <c r="C9" s="5">
        <v>8127162</v>
      </c>
      <c r="D9" s="5">
        <v>8127187</v>
      </c>
      <c r="F9" s="5">
        <v>8127066</v>
      </c>
      <c r="G9" s="5">
        <v>8384737</v>
      </c>
      <c r="H9" s="5">
        <v>8384785</v>
      </c>
      <c r="J9" s="5">
        <v>8127206</v>
      </c>
      <c r="K9" s="5">
        <v>8127261</v>
      </c>
      <c r="M9" s="5">
        <v>6106116</v>
      </c>
      <c r="N9" s="5">
        <v>7037126</v>
      </c>
      <c r="O9" s="5">
        <v>7533032</v>
      </c>
      <c r="Q9" s="5">
        <v>6105986</v>
      </c>
      <c r="R9" s="5">
        <v>8078620</v>
      </c>
      <c r="S9" s="17">
        <v>8078826</v>
      </c>
    </row>
    <row r="10" spans="1:24" x14ac:dyDescent="0.25">
      <c r="A10" s="3" t="s">
        <v>3</v>
      </c>
      <c r="B10" s="5">
        <v>6</v>
      </c>
      <c r="C10" s="5">
        <v>6</v>
      </c>
      <c r="D10" s="5">
        <v>6</v>
      </c>
      <c r="F10" s="5">
        <v>6</v>
      </c>
      <c r="G10" s="5">
        <v>6</v>
      </c>
      <c r="H10" s="5">
        <v>9</v>
      </c>
      <c r="J10" s="5">
        <v>6</v>
      </c>
      <c r="K10" s="5">
        <v>6</v>
      </c>
      <c r="M10" s="5">
        <v>6</v>
      </c>
      <c r="N10" s="5">
        <v>6</v>
      </c>
      <c r="O10" s="5">
        <v>6</v>
      </c>
      <c r="Q10" s="5">
        <v>6</v>
      </c>
      <c r="R10" s="5">
        <v>6</v>
      </c>
      <c r="S10" s="17">
        <v>7</v>
      </c>
    </row>
    <row r="11" spans="1:24" x14ac:dyDescent="0.25">
      <c r="A11" s="3" t="s">
        <v>4</v>
      </c>
      <c r="B11" s="5">
        <v>8127189</v>
      </c>
      <c r="C11" s="5">
        <v>8127156</v>
      </c>
      <c r="D11" s="5">
        <v>8127181</v>
      </c>
      <c r="F11" s="5">
        <v>8127060</v>
      </c>
      <c r="G11" s="5">
        <v>8384731</v>
      </c>
      <c r="H11" s="5">
        <v>8384776</v>
      </c>
      <c r="J11" s="5">
        <v>8127200</v>
      </c>
      <c r="K11" s="5">
        <v>8127255</v>
      </c>
      <c r="M11" s="5">
        <v>6106110</v>
      </c>
      <c r="N11" s="5">
        <v>7037120</v>
      </c>
      <c r="O11" s="5">
        <v>7533026</v>
      </c>
      <c r="Q11" s="5">
        <v>6105980</v>
      </c>
      <c r="R11" s="5">
        <v>8078614</v>
      </c>
      <c r="S11" s="17">
        <v>8078819</v>
      </c>
    </row>
    <row r="12" spans="1:24" s="9" customFormat="1" x14ac:dyDescent="0.25">
      <c r="A12" s="7"/>
      <c r="B12" s="8"/>
      <c r="C12" s="8"/>
      <c r="D12" s="8"/>
      <c r="F12" s="8"/>
      <c r="G12" s="8"/>
      <c r="H12" s="8"/>
      <c r="J12" s="8"/>
      <c r="K12" s="8"/>
      <c r="L12" s="8"/>
      <c r="M12" s="8"/>
      <c r="N12" s="8"/>
      <c r="O12" s="8"/>
      <c r="P12" s="8"/>
      <c r="Q12" s="8"/>
      <c r="R12" s="8"/>
      <c r="S12" s="18"/>
      <c r="T12" s="8"/>
      <c r="U12" s="8"/>
      <c r="V12" s="8"/>
      <c r="W12" s="8"/>
      <c r="X12" s="8"/>
    </row>
    <row r="13" spans="1:24" x14ac:dyDescent="0.25">
      <c r="A13" s="3" t="s">
        <v>6</v>
      </c>
      <c r="B13" s="5">
        <v>26114200</v>
      </c>
      <c r="C13" s="5">
        <v>26114200</v>
      </c>
      <c r="D13" s="5">
        <v>26114200</v>
      </c>
      <c r="F13" s="5">
        <v>26114200</v>
      </c>
      <c r="G13" s="5">
        <v>26114200</v>
      </c>
      <c r="H13" s="5">
        <v>26114200</v>
      </c>
      <c r="J13" s="5">
        <v>26114200</v>
      </c>
      <c r="K13" s="5">
        <v>26114200</v>
      </c>
      <c r="M13" s="5">
        <v>26114200</v>
      </c>
      <c r="N13" s="5">
        <v>26114200</v>
      </c>
      <c r="O13" s="5">
        <v>26114200</v>
      </c>
      <c r="Q13" s="5">
        <v>26114200</v>
      </c>
      <c r="R13" s="5">
        <v>26114200</v>
      </c>
      <c r="S13" s="17">
        <v>26114200</v>
      </c>
    </row>
    <row r="14" spans="1:24" x14ac:dyDescent="0.25">
      <c r="A14" s="3" t="s">
        <v>7</v>
      </c>
      <c r="B14" s="5">
        <v>21753580</v>
      </c>
      <c r="C14" s="5">
        <v>21753587</v>
      </c>
      <c r="D14" s="5">
        <v>21753587</v>
      </c>
      <c r="F14" s="5">
        <v>21753587</v>
      </c>
      <c r="G14" s="5">
        <v>21768536</v>
      </c>
      <c r="H14" s="5">
        <v>21768538</v>
      </c>
      <c r="J14" s="5">
        <v>21753587</v>
      </c>
      <c r="K14" s="5">
        <v>21753587</v>
      </c>
      <c r="M14" s="5">
        <v>24379363</v>
      </c>
      <c r="N14" s="5">
        <v>21980778</v>
      </c>
      <c r="O14" s="5">
        <v>21753591</v>
      </c>
      <c r="Q14" s="5">
        <v>23444104</v>
      </c>
      <c r="R14" s="5">
        <v>21791960</v>
      </c>
      <c r="S14" s="17">
        <v>21773619</v>
      </c>
    </row>
    <row r="15" spans="1:24" x14ac:dyDescent="0.25">
      <c r="A15" s="3" t="s">
        <v>8</v>
      </c>
      <c r="B15" s="5">
        <v>4360620</v>
      </c>
      <c r="C15" s="5">
        <v>4360613</v>
      </c>
      <c r="D15" s="5">
        <v>4360613</v>
      </c>
      <c r="F15" s="5">
        <v>4360613</v>
      </c>
      <c r="G15" s="5">
        <v>4345664</v>
      </c>
      <c r="H15" s="5">
        <v>4345662</v>
      </c>
      <c r="J15" s="5">
        <v>4360613</v>
      </c>
      <c r="K15" s="5">
        <v>4360613</v>
      </c>
      <c r="M15" s="5">
        <v>1734837</v>
      </c>
      <c r="N15" s="5">
        <v>4133422</v>
      </c>
      <c r="O15" s="5">
        <v>4360609</v>
      </c>
      <c r="Q15" s="5">
        <v>2670096</v>
      </c>
      <c r="R15" s="5">
        <v>4322510</v>
      </c>
      <c r="S15" s="17">
        <v>4341031</v>
      </c>
    </row>
    <row r="16" spans="1:24" x14ac:dyDescent="0.25">
      <c r="A16" s="3" t="s">
        <v>9</v>
      </c>
      <c r="B16" s="5">
        <v>242</v>
      </c>
      <c r="C16" s="5">
        <v>242</v>
      </c>
      <c r="D16" s="5">
        <v>242</v>
      </c>
      <c r="F16" s="5">
        <v>242</v>
      </c>
      <c r="G16" s="5">
        <v>120</v>
      </c>
      <c r="H16" s="5">
        <v>87</v>
      </c>
      <c r="J16" s="5">
        <v>242</v>
      </c>
      <c r="K16" s="5">
        <v>242</v>
      </c>
      <c r="M16" s="5">
        <v>242</v>
      </c>
      <c r="N16" s="5">
        <v>498</v>
      </c>
      <c r="O16" s="5">
        <v>498</v>
      </c>
      <c r="Q16" s="5">
        <v>242</v>
      </c>
      <c r="R16" s="5">
        <v>250</v>
      </c>
      <c r="S16" s="17">
        <v>184</v>
      </c>
    </row>
    <row r="17" spans="1:24" x14ac:dyDescent="0.25">
      <c r="A17" s="3" t="s">
        <v>10</v>
      </c>
      <c r="B17" s="5">
        <v>4360378</v>
      </c>
      <c r="C17" s="5">
        <v>4360371</v>
      </c>
      <c r="D17" s="5">
        <v>4360371</v>
      </c>
      <c r="F17" s="5">
        <v>4360371</v>
      </c>
      <c r="G17" s="5">
        <v>4345544</v>
      </c>
      <c r="H17" s="5">
        <v>4345775</v>
      </c>
      <c r="J17" s="5">
        <v>4360371</v>
      </c>
      <c r="K17" s="5">
        <v>4360371</v>
      </c>
      <c r="M17" s="5">
        <v>1734595</v>
      </c>
      <c r="N17" s="5">
        <v>4132924</v>
      </c>
      <c r="O17" s="5">
        <v>4360111</v>
      </c>
      <c r="Q17" s="5">
        <v>2669854</v>
      </c>
      <c r="R17" s="5">
        <v>4322260</v>
      </c>
      <c r="S17" s="17">
        <v>4340847</v>
      </c>
    </row>
    <row r="18" spans="1:24" s="12" customFormat="1" x14ac:dyDescent="0.25">
      <c r="A18" s="10"/>
      <c r="B18" s="11"/>
      <c r="C18" s="11"/>
      <c r="D18" s="11"/>
      <c r="F18" s="11"/>
      <c r="G18" s="11"/>
      <c r="H18" s="11"/>
      <c r="J18" s="11"/>
      <c r="K18" s="11"/>
      <c r="L18" s="11"/>
      <c r="M18" s="11"/>
      <c r="N18" s="11"/>
      <c r="O18" s="11"/>
      <c r="P18" s="11"/>
      <c r="Q18" s="11"/>
      <c r="R18" s="11"/>
      <c r="S18" s="19"/>
      <c r="T18" s="11"/>
      <c r="U18" s="11"/>
      <c r="V18" s="11"/>
      <c r="W18" s="11"/>
      <c r="X18" s="11"/>
    </row>
    <row r="19" spans="1:24" x14ac:dyDescent="0.25">
      <c r="A19" s="3" t="s">
        <v>13</v>
      </c>
      <c r="B19" s="5">
        <v>28145087</v>
      </c>
      <c r="C19" s="5">
        <v>28145120</v>
      </c>
      <c r="D19" s="5">
        <v>28145095</v>
      </c>
      <c r="F19" s="5">
        <v>28145216</v>
      </c>
      <c r="G19" s="5">
        <v>27887545</v>
      </c>
      <c r="H19" s="5">
        <v>27887497</v>
      </c>
      <c r="J19" s="5">
        <v>28145076</v>
      </c>
      <c r="K19" s="5">
        <v>28145021</v>
      </c>
      <c r="M19" s="5">
        <v>30166166</v>
      </c>
      <c r="N19" s="5">
        <v>29235156</v>
      </c>
      <c r="O19" s="5">
        <v>28739520</v>
      </c>
      <c r="Q19" s="5">
        <v>30166296</v>
      </c>
      <c r="R19" s="5">
        <v>28193662</v>
      </c>
      <c r="S19" s="17">
        <v>28193456</v>
      </c>
    </row>
    <row r="20" spans="1:24" x14ac:dyDescent="0.25">
      <c r="A20" s="3" t="s">
        <v>11</v>
      </c>
      <c r="B20" s="5">
        <v>433746070</v>
      </c>
      <c r="C20" s="5">
        <v>433684071</v>
      </c>
      <c r="D20" s="5">
        <v>433693169</v>
      </c>
      <c r="F20" s="5">
        <v>433718548</v>
      </c>
      <c r="G20" s="5">
        <v>447435293</v>
      </c>
      <c r="H20" s="5">
        <v>447247489</v>
      </c>
      <c r="J20" s="5">
        <v>433765876</v>
      </c>
      <c r="K20" s="5">
        <v>433727679</v>
      </c>
      <c r="M20" s="5">
        <v>325670503</v>
      </c>
      <c r="N20" s="5">
        <v>375584038</v>
      </c>
      <c r="O20" s="5">
        <v>401864812</v>
      </c>
      <c r="Q20" s="5">
        <v>265239263</v>
      </c>
      <c r="R20" s="5">
        <v>430946489</v>
      </c>
      <c r="S20" s="17">
        <v>431153788</v>
      </c>
    </row>
    <row r="21" spans="1:24" s="9" customFormat="1" x14ac:dyDescent="0.25">
      <c r="A21" s="7"/>
      <c r="B21" s="8"/>
      <c r="C21" s="8"/>
      <c r="D21" s="8"/>
      <c r="F21" s="8"/>
      <c r="G21" s="8"/>
      <c r="H21" s="8"/>
      <c r="J21" s="8"/>
      <c r="K21" s="8"/>
      <c r="L21" s="8"/>
      <c r="M21" s="8"/>
      <c r="N21" s="8"/>
      <c r="O21" s="8"/>
      <c r="P21" s="8"/>
      <c r="Q21" s="8"/>
      <c r="R21" s="8"/>
      <c r="S21" s="18"/>
      <c r="T21" s="8"/>
      <c r="U21" s="8"/>
      <c r="V21" s="8"/>
      <c r="W21" s="8"/>
      <c r="X21" s="8"/>
    </row>
    <row r="22" spans="1:24" x14ac:dyDescent="0.25">
      <c r="A22" s="3" t="s">
        <v>14</v>
      </c>
      <c r="B22" s="5">
        <v>21753580</v>
      </c>
      <c r="C22" s="5">
        <v>21753587</v>
      </c>
      <c r="D22" s="5">
        <v>21753587</v>
      </c>
      <c r="F22" s="5">
        <v>21753587</v>
      </c>
      <c r="G22" s="5">
        <v>21768536</v>
      </c>
      <c r="H22" s="5">
        <v>21768538</v>
      </c>
      <c r="J22" s="5">
        <v>21753587</v>
      </c>
      <c r="K22" s="5">
        <v>21753587</v>
      </c>
      <c r="M22" s="5">
        <v>24379363</v>
      </c>
      <c r="N22" s="5">
        <v>21980778</v>
      </c>
      <c r="O22" s="5">
        <v>21753591</v>
      </c>
      <c r="Q22" s="5">
        <v>23444104</v>
      </c>
      <c r="R22" s="5">
        <v>21791690</v>
      </c>
      <c r="S22" s="17">
        <v>21773169</v>
      </c>
    </row>
    <row r="23" spans="1:24" x14ac:dyDescent="0.25">
      <c r="A23" s="3" t="s">
        <v>12</v>
      </c>
      <c r="B23" s="5">
        <v>233921818</v>
      </c>
      <c r="C23" s="5">
        <v>233940332</v>
      </c>
      <c r="D23" s="5">
        <v>233931280</v>
      </c>
      <c r="F23" s="5">
        <v>233934193</v>
      </c>
      <c r="G23" s="5">
        <v>232668318</v>
      </c>
      <c r="H23" s="5">
        <v>233043306</v>
      </c>
      <c r="J23" s="5">
        <v>233920046</v>
      </c>
      <c r="K23" s="5">
        <v>233937703</v>
      </c>
      <c r="M23" s="5">
        <v>92851141</v>
      </c>
      <c r="N23" s="5">
        <v>221379347</v>
      </c>
      <c r="O23" s="5">
        <v>233889535</v>
      </c>
      <c r="Q23" s="5">
        <v>142690749</v>
      </c>
      <c r="R23" s="5">
        <v>231273633</v>
      </c>
      <c r="S23" s="17">
        <v>232660822</v>
      </c>
    </row>
    <row r="24" spans="1:24" s="9" customFormat="1" x14ac:dyDescent="0.25">
      <c r="A24" s="7"/>
      <c r="B24" s="8"/>
      <c r="C24" s="8"/>
      <c r="D24" s="8"/>
      <c r="F24" s="8"/>
      <c r="G24" s="8"/>
      <c r="H24" s="8"/>
      <c r="J24" s="8"/>
      <c r="K24" s="8"/>
      <c r="L24" s="8"/>
      <c r="M24" s="8"/>
      <c r="N24" s="8"/>
      <c r="O24" s="8"/>
      <c r="P24" s="8"/>
      <c r="Q24" s="8"/>
      <c r="R24" s="8"/>
      <c r="S24" s="18"/>
      <c r="T24" s="8"/>
      <c r="U24" s="8"/>
      <c r="V24" s="8"/>
      <c r="W24" s="8"/>
      <c r="X24" s="8"/>
    </row>
    <row r="25" spans="1:24" x14ac:dyDescent="0.25">
      <c r="A25" s="3" t="s">
        <v>16</v>
      </c>
      <c r="B25" s="5">
        <v>667667888</v>
      </c>
      <c r="C25" s="5">
        <v>667624403</v>
      </c>
      <c r="D25" s="5">
        <v>667624449</v>
      </c>
      <c r="F25" s="5">
        <v>667652741</v>
      </c>
      <c r="G25" s="5">
        <v>680103611</v>
      </c>
      <c r="H25" s="5">
        <v>680290795</v>
      </c>
      <c r="J25" s="5">
        <v>667685922</v>
      </c>
      <c r="K25" s="5">
        <v>667665382</v>
      </c>
      <c r="M25" s="5">
        <v>418521644</v>
      </c>
      <c r="N25" s="5">
        <v>596963385</v>
      </c>
      <c r="O25" s="5">
        <v>635754347</v>
      </c>
      <c r="Q25" s="5">
        <v>468330012</v>
      </c>
      <c r="R25" s="5">
        <v>662220122</v>
      </c>
      <c r="S25" s="17">
        <v>663814670</v>
      </c>
    </row>
    <row r="26" spans="1:24" x14ac:dyDescent="0.25">
      <c r="A26" s="3" t="s">
        <v>15</v>
      </c>
      <c r="B26" s="5">
        <v>667659462</v>
      </c>
      <c r="C26" s="5">
        <v>667616027</v>
      </c>
      <c r="D26" s="5">
        <v>667616036</v>
      </c>
      <c r="F26" s="5">
        <v>667644295</v>
      </c>
      <c r="G26" s="5">
        <v>680099301</v>
      </c>
      <c r="H26" s="5">
        <v>680287500</v>
      </c>
      <c r="J26" s="5">
        <v>667677529</v>
      </c>
      <c r="K26" s="5">
        <v>667657003</v>
      </c>
      <c r="M26" s="5">
        <v>418513230</v>
      </c>
      <c r="N26" s="5">
        <v>596946317</v>
      </c>
      <c r="O26" s="5">
        <v>635737206</v>
      </c>
      <c r="Q26" s="5">
        <v>468321610</v>
      </c>
      <c r="R26" s="5">
        <v>662211471</v>
      </c>
      <c r="S26" s="17">
        <v>663808150</v>
      </c>
    </row>
    <row r="27" spans="1:24" x14ac:dyDescent="0.25">
      <c r="A27" s="3" t="s">
        <v>17</v>
      </c>
      <c r="B27" s="5">
        <v>8426</v>
      </c>
      <c r="C27" s="5">
        <v>8376</v>
      </c>
      <c r="D27" s="5">
        <v>8413</v>
      </c>
      <c r="F27" s="5">
        <v>8446</v>
      </c>
      <c r="G27" s="5">
        <v>4310</v>
      </c>
      <c r="H27" s="5">
        <v>3295</v>
      </c>
      <c r="J27" s="5">
        <v>8393</v>
      </c>
      <c r="K27" s="5">
        <v>8379</v>
      </c>
      <c r="M27" s="5">
        <v>8414</v>
      </c>
      <c r="N27" s="5">
        <v>17068</v>
      </c>
      <c r="O27" s="5">
        <v>17141</v>
      </c>
      <c r="Q27" s="5">
        <v>8402</v>
      </c>
      <c r="R27" s="5">
        <v>8651</v>
      </c>
      <c r="S27" s="17">
        <v>6520</v>
      </c>
    </row>
    <row r="28" spans="1:24" s="15" customFormat="1" x14ac:dyDescent="0.25">
      <c r="A28" s="13"/>
      <c r="B28" s="14"/>
      <c r="C28" s="14"/>
      <c r="D28" s="14"/>
      <c r="F28" s="14"/>
      <c r="G28" s="14"/>
      <c r="H28" s="14"/>
      <c r="J28" s="14"/>
      <c r="K28" s="14"/>
      <c r="L28" s="14"/>
      <c r="M28" s="14"/>
      <c r="N28" s="14"/>
      <c r="O28" s="14"/>
      <c r="P28" s="14"/>
      <c r="Q28" s="14"/>
      <c r="R28" s="14"/>
      <c r="S28" s="20"/>
      <c r="T28" s="14"/>
      <c r="U28" s="14"/>
      <c r="V28" s="14"/>
      <c r="W28" s="14"/>
      <c r="X28" s="14"/>
    </row>
    <row r="29" spans="1:24" x14ac:dyDescent="0.25">
      <c r="A29" s="3" t="s">
        <v>20</v>
      </c>
      <c r="B29" s="5">
        <v>1712</v>
      </c>
      <c r="C29" s="5">
        <v>2579</v>
      </c>
      <c r="D29" s="5">
        <v>2985</v>
      </c>
      <c r="F29" s="5">
        <v>2198</v>
      </c>
      <c r="G29" s="5">
        <v>3210</v>
      </c>
      <c r="H29" s="5">
        <v>4103</v>
      </c>
      <c r="J29" s="5">
        <v>2644</v>
      </c>
      <c r="K29" s="5">
        <v>3046</v>
      </c>
      <c r="M29" s="5">
        <v>1971</v>
      </c>
      <c r="N29" s="5">
        <v>2759</v>
      </c>
      <c r="O29" s="5">
        <v>2862</v>
      </c>
      <c r="Q29" s="5">
        <v>2518</v>
      </c>
      <c r="R29" s="5">
        <v>4096</v>
      </c>
      <c r="S29" s="17">
        <v>4861</v>
      </c>
    </row>
    <row r="30" spans="1:24" x14ac:dyDescent="0.25">
      <c r="A30" s="3" t="s">
        <v>21</v>
      </c>
      <c r="B30" s="5">
        <v>1136</v>
      </c>
      <c r="C30" s="5">
        <v>1136</v>
      </c>
      <c r="D30" s="5">
        <v>1296</v>
      </c>
      <c r="F30" s="5">
        <v>1263</v>
      </c>
      <c r="G30" s="5">
        <v>1518</v>
      </c>
      <c r="H30" s="5">
        <v>1959</v>
      </c>
      <c r="J30" s="5">
        <v>1200</v>
      </c>
      <c r="K30" s="5">
        <v>1417</v>
      </c>
      <c r="M30" s="5">
        <v>1266</v>
      </c>
      <c r="N30" s="5">
        <v>1272</v>
      </c>
      <c r="O30" s="5">
        <v>1210</v>
      </c>
      <c r="Q30" s="5">
        <v>1521</v>
      </c>
      <c r="R30" s="5">
        <v>2033</v>
      </c>
      <c r="S30" s="17">
        <v>2546</v>
      </c>
    </row>
    <row r="31" spans="1:24" x14ac:dyDescent="0.25">
      <c r="A31" s="3" t="s">
        <v>22</v>
      </c>
      <c r="B31" s="5">
        <v>639</v>
      </c>
      <c r="C31" s="5">
        <v>877</v>
      </c>
      <c r="D31" s="5">
        <v>968</v>
      </c>
      <c r="F31" s="5">
        <v>746</v>
      </c>
      <c r="G31" s="5">
        <v>1053</v>
      </c>
      <c r="H31" s="5">
        <v>1266</v>
      </c>
      <c r="J31" s="5">
        <v>864</v>
      </c>
      <c r="K31" s="5">
        <v>999</v>
      </c>
      <c r="M31" s="5">
        <v>8</v>
      </c>
      <c r="N31" s="5">
        <v>925</v>
      </c>
      <c r="O31" s="5">
        <v>930</v>
      </c>
      <c r="Q31" s="5">
        <v>106</v>
      </c>
      <c r="R31" s="5">
        <v>178</v>
      </c>
      <c r="S31" s="17">
        <v>408</v>
      </c>
    </row>
    <row r="32" spans="1:24" x14ac:dyDescent="0.25">
      <c r="A32" s="3" t="s">
        <v>28</v>
      </c>
      <c r="B32" s="5">
        <v>8</v>
      </c>
      <c r="C32" s="5">
        <v>0</v>
      </c>
      <c r="D32" s="5">
        <v>290</v>
      </c>
      <c r="F32" s="5">
        <v>43</v>
      </c>
      <c r="G32" s="5">
        <v>108</v>
      </c>
      <c r="H32" s="5">
        <v>356</v>
      </c>
      <c r="J32" s="5">
        <v>23</v>
      </c>
      <c r="K32" s="5">
        <v>438</v>
      </c>
      <c r="M32" s="5">
        <v>0</v>
      </c>
      <c r="N32" s="5">
        <v>72</v>
      </c>
      <c r="O32" s="5">
        <v>327</v>
      </c>
      <c r="Q32" s="5">
        <v>33</v>
      </c>
      <c r="R32" s="5">
        <v>16</v>
      </c>
      <c r="S32" s="17">
        <v>112</v>
      </c>
    </row>
    <row r="33" spans="1:19" x14ac:dyDescent="0.25">
      <c r="A33" s="3" t="s">
        <v>29</v>
      </c>
      <c r="B33" s="5">
        <v>0</v>
      </c>
      <c r="C33" s="5">
        <v>0</v>
      </c>
      <c r="D33" s="5">
        <v>7</v>
      </c>
      <c r="F33" s="5">
        <v>14</v>
      </c>
      <c r="G33" s="5">
        <v>27</v>
      </c>
      <c r="H33" s="5">
        <v>33</v>
      </c>
      <c r="J33" s="5">
        <v>0</v>
      </c>
      <c r="K33" s="5">
        <v>31</v>
      </c>
      <c r="M33" s="5">
        <v>737</v>
      </c>
      <c r="N33" s="5">
        <v>9</v>
      </c>
      <c r="O33" s="5">
        <v>18</v>
      </c>
      <c r="Q33" s="5">
        <v>831</v>
      </c>
      <c r="R33" s="5">
        <v>1279</v>
      </c>
      <c r="S33" s="17">
        <v>1417</v>
      </c>
    </row>
    <row r="34" spans="1:19" x14ac:dyDescent="0.25">
      <c r="A34" s="3" t="s">
        <v>23</v>
      </c>
      <c r="B34" s="5">
        <v>1696</v>
      </c>
      <c r="C34" s="5">
        <v>2563</v>
      </c>
      <c r="D34" s="5">
        <v>2769</v>
      </c>
      <c r="F34" s="5">
        <v>2182</v>
      </c>
      <c r="G34" s="5">
        <v>3194</v>
      </c>
      <c r="H34" s="5">
        <v>3887</v>
      </c>
      <c r="J34" s="5">
        <v>2628</v>
      </c>
      <c r="K34" s="5">
        <v>2830</v>
      </c>
      <c r="M34" s="5">
        <v>1939</v>
      </c>
      <c r="N34" s="5">
        <v>2727</v>
      </c>
      <c r="O34" s="5">
        <v>2830</v>
      </c>
      <c r="Q34" s="5">
        <v>2486</v>
      </c>
      <c r="R34" s="5">
        <v>4064</v>
      </c>
      <c r="S34" s="17">
        <v>4829</v>
      </c>
    </row>
    <row r="35" spans="1:19" x14ac:dyDescent="0.25">
      <c r="A35" s="3" t="s">
        <v>24</v>
      </c>
      <c r="B35" s="5">
        <v>16</v>
      </c>
      <c r="C35" s="5">
        <v>16</v>
      </c>
      <c r="D35" s="5">
        <v>216</v>
      </c>
      <c r="F35" s="5">
        <v>16</v>
      </c>
      <c r="G35" s="5">
        <v>16</v>
      </c>
      <c r="H35" s="5">
        <v>216</v>
      </c>
      <c r="J35" s="5">
        <v>16</v>
      </c>
      <c r="K35" s="5">
        <v>216</v>
      </c>
      <c r="M35" s="5">
        <v>32</v>
      </c>
      <c r="N35" s="5">
        <v>32</v>
      </c>
      <c r="O35" s="5">
        <v>32</v>
      </c>
      <c r="Q35" s="5">
        <v>32</v>
      </c>
      <c r="R35" s="5">
        <v>32</v>
      </c>
      <c r="S35" s="17">
        <v>32</v>
      </c>
    </row>
    <row r="36" spans="1:19" x14ac:dyDescent="0.25">
      <c r="A36" s="3" t="s">
        <v>25</v>
      </c>
      <c r="B36" s="5">
        <v>5</v>
      </c>
      <c r="C36" s="5">
        <v>10</v>
      </c>
      <c r="D36" s="5">
        <v>16</v>
      </c>
      <c r="F36" s="5">
        <v>5</v>
      </c>
      <c r="G36" s="5">
        <v>10</v>
      </c>
      <c r="H36" s="5">
        <v>16</v>
      </c>
      <c r="J36" s="5">
        <v>10</v>
      </c>
      <c r="K36" s="5">
        <v>16</v>
      </c>
      <c r="M36" s="5">
        <v>5</v>
      </c>
      <c r="N36" s="5">
        <v>10</v>
      </c>
      <c r="O36" s="5">
        <v>20</v>
      </c>
      <c r="Q36" s="5">
        <v>5</v>
      </c>
      <c r="R36" s="5">
        <v>10</v>
      </c>
      <c r="S36" s="17">
        <v>20</v>
      </c>
    </row>
    <row r="37" spans="1:19" x14ac:dyDescent="0.25">
      <c r="A37" s="3" t="s">
        <v>26</v>
      </c>
      <c r="B37" s="5">
        <v>0.96099999999999997</v>
      </c>
      <c r="C37" s="5">
        <v>0.98</v>
      </c>
      <c r="D37" s="5">
        <v>0.997</v>
      </c>
      <c r="F37" s="5">
        <v>0.95699999999999996</v>
      </c>
      <c r="G37" s="5">
        <v>0.97899999999999998</v>
      </c>
      <c r="H37" s="5">
        <v>1.0069999999999999</v>
      </c>
      <c r="J37" s="5">
        <v>0.97499999999999998</v>
      </c>
      <c r="K37" s="5">
        <v>0.98699999999999999</v>
      </c>
      <c r="M37" s="5">
        <v>0.93700000000000006</v>
      </c>
      <c r="N37" s="5">
        <v>0.98</v>
      </c>
      <c r="O37" s="5">
        <v>1.0029999999999999</v>
      </c>
      <c r="Q37" s="5">
        <v>0.96</v>
      </c>
      <c r="R37" s="5">
        <v>0.98799999999999999</v>
      </c>
      <c r="S37" s="17">
        <v>1.028</v>
      </c>
    </row>
    <row r="38" spans="1:19" x14ac:dyDescent="0.25">
      <c r="A38" s="3" t="s">
        <v>36</v>
      </c>
      <c r="S38" s="17">
        <v>-0.56000000000000005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EBBC-3845-430E-88CA-2E06B1366500}">
  <dimension ref="A1:X86"/>
  <sheetViews>
    <sheetView zoomScale="90" zoomScaleNormal="90" workbookViewId="0">
      <selection activeCell="T24" sqref="T24"/>
    </sheetView>
  </sheetViews>
  <sheetFormatPr defaultRowHeight="15.75" x14ac:dyDescent="0.25"/>
  <cols>
    <col min="1" max="1" width="23.28515625" style="2" bestFit="1" customWidth="1"/>
    <col min="2" max="2" width="13" style="1" bestFit="1" customWidth="1"/>
    <col min="3" max="4" width="11.85546875" style="1" bestFit="1" customWidth="1"/>
    <col min="5" max="5" width="18.28515625" style="1" bestFit="1" customWidth="1"/>
    <col min="6" max="8" width="11.85546875" style="1" bestFit="1" customWidth="1"/>
    <col min="9" max="9" width="9.140625" style="1"/>
    <col min="10" max="12" width="13" style="1" bestFit="1" customWidth="1"/>
    <col min="13" max="14" width="11.85546875" style="1" bestFit="1" customWidth="1"/>
    <col min="15" max="16" width="13" style="1" bestFit="1" customWidth="1"/>
    <col min="17" max="19" width="11.85546875" style="1" bestFit="1" customWidth="1"/>
    <col min="20" max="20" width="13" style="1" bestFit="1" customWidth="1"/>
    <col min="21" max="24" width="9.140625" style="1"/>
  </cols>
  <sheetData>
    <row r="1" spans="1:24" ht="16.5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4" ht="16.5" thickBot="1" x14ac:dyDescent="0.3">
      <c r="A2" s="3"/>
      <c r="B2" s="34" t="s">
        <v>32</v>
      </c>
      <c r="C2" s="35"/>
      <c r="D2" s="36"/>
      <c r="E2" s="4"/>
      <c r="F2" s="27" t="s">
        <v>33</v>
      </c>
      <c r="G2" s="28"/>
      <c r="H2" s="29"/>
      <c r="I2" s="4"/>
      <c r="J2" s="34" t="s">
        <v>34</v>
      </c>
      <c r="K2" s="35"/>
      <c r="L2" s="36"/>
      <c r="M2" s="3"/>
    </row>
    <row r="3" spans="1:24" ht="16.5" thickBot="1" x14ac:dyDescent="0.3">
      <c r="A3" s="3"/>
      <c r="B3" s="34" t="s">
        <v>18</v>
      </c>
      <c r="C3" s="35"/>
      <c r="D3" s="36"/>
      <c r="E3" s="4"/>
      <c r="F3" s="38" t="s">
        <v>18</v>
      </c>
      <c r="G3" s="39"/>
      <c r="H3" s="40"/>
      <c r="I3" s="4"/>
      <c r="J3" s="34" t="s">
        <v>18</v>
      </c>
      <c r="K3" s="35"/>
      <c r="L3" s="36"/>
      <c r="M3" s="3"/>
    </row>
    <row r="4" spans="1:24" s="26" customFormat="1" ht="16.5" thickBot="1" x14ac:dyDescent="0.3">
      <c r="A4" s="3"/>
      <c r="B4" s="37" t="s">
        <v>30</v>
      </c>
      <c r="C4" s="37" t="s">
        <v>19</v>
      </c>
      <c r="D4" s="37" t="s">
        <v>27</v>
      </c>
      <c r="E4" s="4"/>
      <c r="F4" s="37" t="s">
        <v>30</v>
      </c>
      <c r="G4" s="37" t="s">
        <v>19</v>
      </c>
      <c r="H4" s="37" t="s">
        <v>27</v>
      </c>
      <c r="I4" s="4"/>
      <c r="J4" s="37" t="s">
        <v>30</v>
      </c>
      <c r="K4" s="37" t="s">
        <v>19</v>
      </c>
      <c r="L4" s="37" t="s">
        <v>27</v>
      </c>
      <c r="M4" s="3"/>
      <c r="U4" s="25"/>
      <c r="V4" s="25"/>
      <c r="W4" s="25"/>
      <c r="X4" s="25"/>
    </row>
    <row r="5" spans="1:24" s="26" customFormat="1" ht="16.5" thickBot="1" x14ac:dyDescent="0.3">
      <c r="A5" s="45" t="s">
        <v>37</v>
      </c>
      <c r="B5" s="41">
        <f>B42/$C$42 %</f>
        <v>100.00188218121426</v>
      </c>
      <c r="C5" s="41">
        <f>C42/$C$42 %</f>
        <v>100</v>
      </c>
      <c r="D5" s="41">
        <f>D42/$C$42 %</f>
        <v>99.999064465377302</v>
      </c>
      <c r="E5" s="25"/>
      <c r="F5" s="44">
        <f>F42/$C$42 %</f>
        <v>100.0011182499907</v>
      </c>
      <c r="G5" s="44">
        <f>G42/$C$42 %</f>
        <v>100.81298657369483</v>
      </c>
      <c r="H5" s="31">
        <f>H42/$C$42 %</f>
        <v>100.82529903440989</v>
      </c>
      <c r="I5" s="25"/>
      <c r="J5" s="30">
        <f>J42/$C$42 %</f>
        <v>100.0011182499907</v>
      </c>
      <c r="K5" s="44">
        <f>K42/$C$42 %</f>
        <v>100.0033065759275</v>
      </c>
      <c r="L5" s="31">
        <f>L42/$C$42 %</f>
        <v>100.00189089778861</v>
      </c>
      <c r="M5" s="25"/>
      <c r="U5" s="25"/>
      <c r="V5" s="25"/>
      <c r="W5" s="25"/>
      <c r="X5" s="25"/>
    </row>
    <row r="6" spans="1:24" s="26" customFormat="1" x14ac:dyDescent="0.25">
      <c r="A6" s="46" t="s">
        <v>38</v>
      </c>
      <c r="B6" s="44">
        <f>B46/B45 %</f>
        <v>77.593924198097042</v>
      </c>
      <c r="C6" s="44">
        <f>C46/C45 %</f>
        <v>77.592731672107007</v>
      </c>
      <c r="D6" s="44">
        <f>D46/D45 %</f>
        <v>77.593946253505635</v>
      </c>
      <c r="E6" s="25"/>
      <c r="F6" s="44">
        <f>F46/F45 %</f>
        <v>77.594279841560564</v>
      </c>
      <c r="G6" s="44">
        <f>G46/G45 %</f>
        <v>76.883899943212839</v>
      </c>
      <c r="H6" s="49">
        <f>H46/H45 %</f>
        <v>76.883767610761296</v>
      </c>
      <c r="I6" s="25"/>
      <c r="J6" s="50">
        <f>J46/J45 %</f>
        <v>77.594279841560564</v>
      </c>
      <c r="K6" s="44">
        <f>K46/K45 %</f>
        <v>77.59389387191024</v>
      </c>
      <c r="L6" s="49">
        <f>L46/L45 %</f>
        <v>77.593742240976184</v>
      </c>
      <c r="M6" s="25"/>
      <c r="U6" s="25"/>
      <c r="V6" s="25"/>
      <c r="W6" s="25"/>
      <c r="X6" s="25"/>
    </row>
    <row r="7" spans="1:24" s="26" customFormat="1" x14ac:dyDescent="0.25">
      <c r="A7" s="47" t="s">
        <v>40</v>
      </c>
      <c r="B7" s="42">
        <f>B49/B47 %</f>
        <v>99.999926173790598</v>
      </c>
      <c r="C7" s="42">
        <f>C49/C47 %</f>
        <v>99.99992617349082</v>
      </c>
      <c r="D7" s="42">
        <f>D49/D47 %</f>
        <v>99.999926173717924</v>
      </c>
      <c r="E7" s="25"/>
      <c r="F7" s="42">
        <f>F49/F47 %</f>
        <v>99.999926172618743</v>
      </c>
      <c r="G7" s="42">
        <f>G49/G47 %</f>
        <v>99.999928441404904</v>
      </c>
      <c r="H7" s="31">
        <f>H49/H47 %</f>
        <v>99.99989266272182</v>
      </c>
      <c r="I7" s="25"/>
      <c r="J7" s="30">
        <f>J49/J47 %</f>
        <v>99.999926172618743</v>
      </c>
      <c r="K7" s="42">
        <f>K49/K47 %</f>
        <v>99.999926173890515</v>
      </c>
      <c r="L7" s="31">
        <f>L49/L47 %</f>
        <v>99.999926174390112</v>
      </c>
      <c r="M7" s="25"/>
      <c r="U7" s="25"/>
      <c r="V7" s="25"/>
      <c r="W7" s="25"/>
      <c r="X7" s="25"/>
    </row>
    <row r="8" spans="1:24" s="26" customFormat="1" ht="16.5" thickBot="1" x14ac:dyDescent="0.3">
      <c r="A8" s="48" t="s">
        <v>41</v>
      </c>
      <c r="B8" s="43">
        <f>B58/B47</f>
        <v>53.369713658894611</v>
      </c>
      <c r="C8" s="43">
        <f>C58/C47</f>
        <v>53.362301748137909</v>
      </c>
      <c r="D8" s="43">
        <f>D58/D47</f>
        <v>53.363257053147663</v>
      </c>
      <c r="E8" s="25"/>
      <c r="F8" s="43">
        <f>F58/F47</f>
        <v>53.36717432834925</v>
      </c>
      <c r="G8" s="43">
        <f>G58/G47</f>
        <v>53.363068275128967</v>
      </c>
      <c r="H8" s="33">
        <f>H58/H47</f>
        <v>53.340364600881237</v>
      </c>
      <c r="I8" s="25"/>
      <c r="J8" s="32">
        <f>J58/J47</f>
        <v>53.36717432834925</v>
      </c>
      <c r="K8" s="43">
        <f>K58/K47</f>
        <v>53.372078423999589</v>
      </c>
      <c r="L8" s="33">
        <f>L58/L47</f>
        <v>53.367017375226411</v>
      </c>
      <c r="M8" s="25"/>
      <c r="U8" s="25"/>
      <c r="V8" s="25"/>
      <c r="W8" s="25"/>
      <c r="X8" s="25"/>
    </row>
    <row r="9" spans="1:24" s="26" customFormat="1" x14ac:dyDescent="0.25">
      <c r="A9" s="46" t="s">
        <v>39</v>
      </c>
      <c r="B9" s="42">
        <f>B52/B51 %</f>
        <v>83.301728561472302</v>
      </c>
      <c r="C9" s="42">
        <f>C52/C51 %</f>
        <v>83.301755366811932</v>
      </c>
      <c r="D9" s="42">
        <f>D52/D51 %</f>
        <v>83.301755366811932</v>
      </c>
      <c r="E9" s="25"/>
      <c r="F9" s="42">
        <f>F52/F51 %</f>
        <v>83.301755366811932</v>
      </c>
      <c r="G9" s="42">
        <f>G52/G51 %</f>
        <v>83.359000084245352</v>
      </c>
      <c r="H9" s="31">
        <f>H52/H51 %</f>
        <v>83.359007742913818</v>
      </c>
      <c r="I9" s="25"/>
      <c r="J9" s="30">
        <f>J52/J51 %</f>
        <v>83.301755366811932</v>
      </c>
      <c r="K9" s="42">
        <f>K52/K51 %</f>
        <v>83.301755366811932</v>
      </c>
      <c r="L9" s="31">
        <f>L52/L51 %</f>
        <v>83.301755366811932</v>
      </c>
      <c r="M9" s="25"/>
      <c r="U9" s="25"/>
      <c r="V9" s="25"/>
      <c r="W9" s="25"/>
      <c r="X9" s="25"/>
    </row>
    <row r="10" spans="1:24" s="26" customFormat="1" x14ac:dyDescent="0.25">
      <c r="A10" s="47" t="s">
        <v>42</v>
      </c>
      <c r="B10" s="42">
        <f>B55/B53 %</f>
        <v>99.994450330457596</v>
      </c>
      <c r="C10" s="42">
        <f>C55/C53 %</f>
        <v>99.99445032154884</v>
      </c>
      <c r="D10" s="42">
        <f>D55/D53 %</f>
        <v>99.99445032154884</v>
      </c>
      <c r="E10" s="25"/>
      <c r="F10" s="42">
        <f>F55/F53 %</f>
        <v>99.99445032154884</v>
      </c>
      <c r="G10" s="42">
        <f>G55/G53 %</f>
        <v>99.997238626824355</v>
      </c>
      <c r="H10" s="31">
        <f>H55/H53 %</f>
        <v>100.00260029427047</v>
      </c>
      <c r="I10" s="25"/>
      <c r="J10" s="30">
        <f>J55/J53 %</f>
        <v>99.99445032154884</v>
      </c>
      <c r="K10" s="42">
        <f>K55/K53 %</f>
        <v>99.99445032154884</v>
      </c>
      <c r="L10" s="31">
        <f>L55/L53 %</f>
        <v>99.99445032154884</v>
      </c>
      <c r="M10" s="25"/>
      <c r="U10" s="25"/>
      <c r="V10" s="25"/>
      <c r="W10" s="25"/>
      <c r="X10" s="25"/>
    </row>
    <row r="11" spans="1:24" s="26" customFormat="1" ht="16.5" thickBot="1" x14ac:dyDescent="0.3">
      <c r="A11" s="48" t="s">
        <v>43</v>
      </c>
      <c r="B11" s="43">
        <f>B61/B53</f>
        <v>53.644164820598903</v>
      </c>
      <c r="C11" s="43">
        <f>C61/C53</f>
        <v>53.648496667785011</v>
      </c>
      <c r="D11" s="43">
        <f>D61/D53</f>
        <v>53.646420812853606</v>
      </c>
      <c r="E11" s="25"/>
      <c r="F11" s="43">
        <f>F61/F53</f>
        <v>53.647088838197746</v>
      </c>
      <c r="G11" s="43">
        <f>G61/G53</f>
        <v>53.540337679121073</v>
      </c>
      <c r="H11" s="33">
        <f>H61/H53</f>
        <v>53.626652510020335</v>
      </c>
      <c r="I11" s="25"/>
      <c r="J11" s="32">
        <f>J61/J53</f>
        <v>53.647088838197746</v>
      </c>
      <c r="K11" s="43">
        <f>K61/K53</f>
        <v>53.64384456955937</v>
      </c>
      <c r="L11" s="33">
        <f>L61/L53</f>
        <v>53.647893770898726</v>
      </c>
      <c r="M11" s="25"/>
      <c r="U11" s="25"/>
      <c r="V11" s="25"/>
      <c r="W11" s="25"/>
      <c r="X11" s="25"/>
    </row>
    <row r="12" spans="1:24" s="26" customFormat="1" ht="16.5" thickBot="1" x14ac:dyDescent="0.3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26" customFormat="1" ht="16.5" thickBot="1" x14ac:dyDescent="0.3">
      <c r="A13" s="24"/>
      <c r="B13" s="34" t="s">
        <v>32</v>
      </c>
      <c r="C13" s="35"/>
      <c r="D13" s="36"/>
      <c r="E13" s="25"/>
      <c r="F13" s="34" t="s">
        <v>33</v>
      </c>
      <c r="G13" s="35"/>
      <c r="H13" s="36"/>
      <c r="I13" s="25"/>
      <c r="J13" s="34" t="s">
        <v>34</v>
      </c>
      <c r="K13" s="35"/>
      <c r="L13" s="36"/>
      <c r="M13" s="25"/>
      <c r="Q13" s="25"/>
      <c r="U13" s="25"/>
      <c r="V13" s="25"/>
      <c r="W13" s="25"/>
      <c r="X13" s="25"/>
    </row>
    <row r="14" spans="1:24" s="26" customFormat="1" ht="16.5" thickBot="1" x14ac:dyDescent="0.3">
      <c r="A14" s="24"/>
      <c r="B14" s="34" t="s">
        <v>18</v>
      </c>
      <c r="C14" s="35"/>
      <c r="D14" s="36"/>
      <c r="E14" s="25"/>
      <c r="F14" s="34" t="s">
        <v>18</v>
      </c>
      <c r="G14" s="35"/>
      <c r="H14" s="36"/>
      <c r="I14" s="25"/>
      <c r="J14" s="34" t="s">
        <v>18</v>
      </c>
      <c r="K14" s="35"/>
      <c r="L14" s="36"/>
      <c r="M14" s="25"/>
      <c r="Q14" s="25"/>
      <c r="U14" s="25"/>
      <c r="V14" s="25"/>
      <c r="W14" s="25"/>
      <c r="X14" s="25"/>
    </row>
    <row r="15" spans="1:24" s="26" customFormat="1" ht="16.5" thickBot="1" x14ac:dyDescent="0.3">
      <c r="A15" s="24"/>
      <c r="B15" s="51" t="s">
        <v>30</v>
      </c>
      <c r="C15" s="51" t="s">
        <v>19</v>
      </c>
      <c r="D15" s="51" t="s">
        <v>27</v>
      </c>
      <c r="E15" s="25"/>
      <c r="F15" s="51" t="s">
        <v>30</v>
      </c>
      <c r="G15" s="51" t="s">
        <v>19</v>
      </c>
      <c r="H15" s="51" t="s">
        <v>27</v>
      </c>
      <c r="I15" s="25"/>
      <c r="J15" s="51" t="s">
        <v>30</v>
      </c>
      <c r="K15" s="51" t="s">
        <v>19</v>
      </c>
      <c r="L15" s="51" t="s">
        <v>27</v>
      </c>
      <c r="M15" s="25"/>
      <c r="Q15" s="25"/>
      <c r="U15" s="25"/>
      <c r="V15" s="25"/>
      <c r="W15" s="25"/>
      <c r="X15" s="25"/>
    </row>
    <row r="16" spans="1:24" s="26" customFormat="1" x14ac:dyDescent="0.25">
      <c r="A16" s="46" t="s">
        <v>47</v>
      </c>
      <c r="B16" s="52">
        <v>1712</v>
      </c>
      <c r="C16" s="52">
        <v>2579</v>
      </c>
      <c r="D16" s="52">
        <v>2985</v>
      </c>
      <c r="E16" s="25"/>
      <c r="F16" s="52">
        <v>2198</v>
      </c>
      <c r="G16" s="52">
        <v>3210</v>
      </c>
      <c r="H16" s="52">
        <v>4103</v>
      </c>
      <c r="I16" s="25"/>
      <c r="J16" s="52">
        <v>2198</v>
      </c>
      <c r="K16" s="52">
        <v>2644</v>
      </c>
      <c r="L16" s="52">
        <v>3046</v>
      </c>
      <c r="M16" s="25"/>
      <c r="Q16" s="25"/>
      <c r="U16" s="25"/>
      <c r="V16" s="25"/>
      <c r="W16" s="25"/>
      <c r="X16" s="25"/>
    </row>
    <row r="17" spans="1:24" s="26" customFormat="1" x14ac:dyDescent="0.25">
      <c r="A17" s="47" t="s">
        <v>45</v>
      </c>
      <c r="B17" s="53">
        <v>1696</v>
      </c>
      <c r="C17" s="53">
        <v>2563</v>
      </c>
      <c r="D17" s="53">
        <v>2769</v>
      </c>
      <c r="E17" s="25"/>
      <c r="F17" s="53">
        <v>2182</v>
      </c>
      <c r="G17" s="53">
        <v>3194</v>
      </c>
      <c r="H17" s="53">
        <v>3887</v>
      </c>
      <c r="I17" s="25"/>
      <c r="J17" s="53">
        <v>2182</v>
      </c>
      <c r="K17" s="53">
        <v>2628</v>
      </c>
      <c r="L17" s="53">
        <v>2830</v>
      </c>
      <c r="M17" s="25"/>
      <c r="Q17" s="25"/>
      <c r="U17" s="25"/>
      <c r="V17" s="25"/>
      <c r="W17" s="25"/>
      <c r="X17" s="25"/>
    </row>
    <row r="18" spans="1:24" s="26" customFormat="1" ht="16.5" thickBot="1" x14ac:dyDescent="0.3">
      <c r="A18" s="48" t="s">
        <v>46</v>
      </c>
      <c r="B18" s="54">
        <v>16</v>
      </c>
      <c r="C18" s="54">
        <v>16</v>
      </c>
      <c r="D18" s="54">
        <v>216</v>
      </c>
      <c r="E18" s="25"/>
      <c r="F18" s="54">
        <v>16</v>
      </c>
      <c r="G18" s="54">
        <v>16</v>
      </c>
      <c r="H18" s="54">
        <v>216</v>
      </c>
      <c r="I18" s="25"/>
      <c r="J18" s="54">
        <v>16</v>
      </c>
      <c r="K18" s="54">
        <v>16</v>
      </c>
      <c r="L18" s="54">
        <v>216</v>
      </c>
      <c r="M18" s="25"/>
      <c r="Q18" s="25"/>
      <c r="U18" s="25"/>
      <c r="V18" s="25"/>
      <c r="W18" s="25"/>
      <c r="X18" s="25"/>
    </row>
    <row r="19" spans="1:24" s="26" customFormat="1" ht="16.5" thickBot="1" x14ac:dyDescent="0.3">
      <c r="A19" s="45" t="s">
        <v>44</v>
      </c>
      <c r="B19" s="55">
        <v>1136</v>
      </c>
      <c r="C19" s="55">
        <v>1136</v>
      </c>
      <c r="D19" s="55">
        <v>1296</v>
      </c>
      <c r="E19" s="25"/>
      <c r="F19" s="55">
        <v>1263</v>
      </c>
      <c r="G19" s="55">
        <v>1518</v>
      </c>
      <c r="H19" s="55">
        <v>1959</v>
      </c>
      <c r="I19" s="25"/>
      <c r="J19" s="55">
        <v>1263</v>
      </c>
      <c r="K19" s="55">
        <v>1200</v>
      </c>
      <c r="L19" s="55">
        <v>1417</v>
      </c>
      <c r="M19" s="25"/>
      <c r="Q19" s="25"/>
      <c r="U19" s="25"/>
      <c r="V19" s="25"/>
      <c r="W19" s="25"/>
      <c r="X19" s="25"/>
    </row>
    <row r="20" spans="1:24" s="26" customFormat="1" ht="16.5" thickBot="1" x14ac:dyDescent="0.3">
      <c r="A20" s="45" t="s">
        <v>25</v>
      </c>
      <c r="B20" s="55">
        <v>5</v>
      </c>
      <c r="C20" s="55">
        <v>10</v>
      </c>
      <c r="D20" s="55">
        <v>16</v>
      </c>
      <c r="E20" s="25"/>
      <c r="F20" s="55">
        <v>5</v>
      </c>
      <c r="G20" s="55">
        <v>10</v>
      </c>
      <c r="H20" s="55">
        <v>16</v>
      </c>
      <c r="I20" s="25"/>
      <c r="J20" s="55">
        <v>5</v>
      </c>
      <c r="K20" s="55">
        <v>10</v>
      </c>
      <c r="L20" s="55">
        <v>16</v>
      </c>
      <c r="M20" s="25"/>
      <c r="Q20" s="25"/>
      <c r="U20" s="25"/>
      <c r="V20" s="25"/>
      <c r="W20" s="25"/>
      <c r="X20" s="25"/>
    </row>
    <row r="21" spans="1:24" s="26" customFormat="1" ht="16.5" thickBot="1" x14ac:dyDescent="0.3">
      <c r="A21" s="48" t="s">
        <v>48</v>
      </c>
      <c r="B21" s="54">
        <v>0.96099999999999997</v>
      </c>
      <c r="C21" s="54">
        <v>0.98</v>
      </c>
      <c r="D21" s="54">
        <v>0.997</v>
      </c>
      <c r="E21" s="25"/>
      <c r="F21" s="54">
        <v>0.95699999999999996</v>
      </c>
      <c r="G21" s="54">
        <v>0.97899999999999998</v>
      </c>
      <c r="H21" s="54">
        <v>1.0069999999999999</v>
      </c>
      <c r="I21" s="25"/>
      <c r="J21" s="54">
        <v>0.95699999999999996</v>
      </c>
      <c r="K21" s="54">
        <v>0.97499999999999998</v>
      </c>
      <c r="L21" s="54">
        <v>0.98699999999999999</v>
      </c>
      <c r="M21" s="25"/>
      <c r="Q21" s="25"/>
      <c r="U21" s="25"/>
      <c r="V21" s="25"/>
      <c r="W21" s="25"/>
      <c r="X21" s="25"/>
    </row>
    <row r="22" spans="1:24" s="26" customFormat="1" ht="16.5" thickBot="1" x14ac:dyDescent="0.3">
      <c r="A22" s="24"/>
      <c r="B22" s="24"/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s="26" customFormat="1" ht="16.5" thickBot="1" x14ac:dyDescent="0.3">
      <c r="A23" s="24"/>
      <c r="B23" s="34" t="s">
        <v>32</v>
      </c>
      <c r="C23" s="35"/>
      <c r="D23" s="36"/>
      <c r="E23" s="3"/>
      <c r="F23" s="34" t="s">
        <v>33</v>
      </c>
      <c r="G23" s="35" t="s">
        <v>33</v>
      </c>
      <c r="H23" s="36" t="s">
        <v>33</v>
      </c>
      <c r="I23" s="25"/>
      <c r="J23" s="24"/>
      <c r="K23" s="34" t="s">
        <v>32</v>
      </c>
      <c r="L23" s="35"/>
      <c r="M23" s="36"/>
      <c r="N23" s="25"/>
      <c r="O23" s="34" t="s">
        <v>33</v>
      </c>
      <c r="P23" s="35"/>
      <c r="Q23" s="36"/>
      <c r="R23" s="25"/>
      <c r="S23" s="25"/>
      <c r="T23" s="25"/>
      <c r="U23" s="25"/>
      <c r="V23" s="25"/>
      <c r="W23" s="25"/>
      <c r="X23" s="25"/>
    </row>
    <row r="24" spans="1:24" s="26" customFormat="1" ht="16.5" thickBot="1" x14ac:dyDescent="0.3">
      <c r="A24" s="24"/>
      <c r="B24" s="34" t="s">
        <v>35</v>
      </c>
      <c r="C24" s="35" t="s">
        <v>35</v>
      </c>
      <c r="D24" s="36" t="s">
        <v>35</v>
      </c>
      <c r="E24" s="3"/>
      <c r="F24" s="34" t="s">
        <v>35</v>
      </c>
      <c r="G24" s="35" t="s">
        <v>35</v>
      </c>
      <c r="H24" s="36" t="s">
        <v>35</v>
      </c>
      <c r="I24" s="25"/>
      <c r="J24" s="24"/>
      <c r="K24" s="34" t="s">
        <v>35</v>
      </c>
      <c r="L24" s="35"/>
      <c r="M24" s="36"/>
      <c r="N24" s="25"/>
      <c r="O24" s="34" t="s">
        <v>35</v>
      </c>
      <c r="P24" s="35"/>
      <c r="Q24" s="36"/>
      <c r="R24" s="25"/>
      <c r="S24" s="25"/>
      <c r="T24" s="25"/>
      <c r="U24" s="25"/>
      <c r="V24" s="25"/>
      <c r="W24" s="25"/>
      <c r="X24" s="25"/>
    </row>
    <row r="25" spans="1:24" s="26" customFormat="1" ht="16.5" thickBot="1" x14ac:dyDescent="0.3">
      <c r="A25" s="24"/>
      <c r="B25" s="37" t="s">
        <v>30</v>
      </c>
      <c r="C25" s="37" t="s">
        <v>19</v>
      </c>
      <c r="D25" s="37" t="s">
        <v>27</v>
      </c>
      <c r="E25" s="3"/>
      <c r="F25" s="37" t="s">
        <v>30</v>
      </c>
      <c r="G25" s="37" t="s">
        <v>19</v>
      </c>
      <c r="H25" s="37" t="s">
        <v>27</v>
      </c>
      <c r="I25" s="25"/>
      <c r="J25" s="24"/>
      <c r="K25" s="51" t="s">
        <v>30</v>
      </c>
      <c r="L25" s="51" t="s">
        <v>19</v>
      </c>
      <c r="M25" s="51" t="s">
        <v>27</v>
      </c>
      <c r="N25" s="25"/>
      <c r="O25" s="51" t="s">
        <v>30</v>
      </c>
      <c r="P25" s="51" t="s">
        <v>19</v>
      </c>
      <c r="Q25" s="51" t="s">
        <v>27</v>
      </c>
      <c r="R25" s="25"/>
      <c r="S25" s="25"/>
      <c r="T25" s="25"/>
      <c r="U25" s="25"/>
      <c r="V25" s="25"/>
      <c r="W25" s="25"/>
      <c r="X25" s="25"/>
    </row>
    <row r="26" spans="1:24" s="26" customFormat="1" ht="16.5" thickBot="1" x14ac:dyDescent="0.3">
      <c r="A26" s="45" t="s">
        <v>37</v>
      </c>
      <c r="B26" s="30">
        <f>N42/$C$42 %</f>
        <v>83.733678396651058</v>
      </c>
      <c r="C26" s="44">
        <f>O42/$C$42 %</f>
        <v>95.385407071704748</v>
      </c>
      <c r="D26" s="31">
        <f>P42/$C$42 %</f>
        <v>97.913079162811201</v>
      </c>
      <c r="E26" s="25"/>
      <c r="F26" s="30">
        <f>R42/$C$42 %</f>
        <v>86.98569329286677</v>
      </c>
      <c r="G26" s="44">
        <f>S42/$C$42 %</f>
        <v>99.645401104790395</v>
      </c>
      <c r="H26" s="31">
        <f>T42/$C$42 %</f>
        <v>99.749864125073984</v>
      </c>
      <c r="I26" s="25"/>
      <c r="J26" s="46" t="s">
        <v>47</v>
      </c>
      <c r="K26" s="52">
        <v>1971</v>
      </c>
      <c r="L26" s="52">
        <v>2759</v>
      </c>
      <c r="M26" s="52">
        <v>2862</v>
      </c>
      <c r="N26" s="25"/>
      <c r="O26" s="52">
        <v>2518</v>
      </c>
      <c r="P26" s="52">
        <v>4096</v>
      </c>
      <c r="Q26" s="52">
        <v>4861</v>
      </c>
      <c r="R26" s="25"/>
      <c r="S26" s="25"/>
      <c r="T26" s="25"/>
      <c r="U26" s="25"/>
      <c r="V26" s="25"/>
      <c r="W26" s="25"/>
      <c r="X26" s="25"/>
    </row>
    <row r="27" spans="1:24" s="26" customFormat="1" x14ac:dyDescent="0.25">
      <c r="A27" s="46" t="s">
        <v>38</v>
      </c>
      <c r="B27" s="50">
        <f>N46/N45 %</f>
        <v>83.165889590293773</v>
      </c>
      <c r="C27" s="44">
        <f>O46/O45 %</f>
        <v>80.599163846377238</v>
      </c>
      <c r="D27" s="49">
        <f>P46/P45 %</f>
        <v>79.231987664851076</v>
      </c>
      <c r="E27" s="25"/>
      <c r="F27" s="50">
        <f>R46/R45 %</f>
        <v>83.16624799068336</v>
      </c>
      <c r="G27" s="44">
        <f>S46/S45 %</f>
        <v>77.727841882129169</v>
      </c>
      <c r="H27" s="49">
        <f>T46/T45 %</f>
        <v>77.727273955357973</v>
      </c>
      <c r="I27" s="25"/>
      <c r="J27" s="47" t="s">
        <v>45</v>
      </c>
      <c r="K27" s="53">
        <v>1939</v>
      </c>
      <c r="L27" s="53">
        <v>2727</v>
      </c>
      <c r="M27" s="53">
        <v>2830</v>
      </c>
      <c r="N27" s="25"/>
      <c r="O27" s="53">
        <v>2486</v>
      </c>
      <c r="P27" s="53">
        <v>4064</v>
      </c>
      <c r="Q27" s="53">
        <v>4829</v>
      </c>
      <c r="R27" s="25"/>
      <c r="S27" s="25"/>
      <c r="T27" s="25"/>
      <c r="U27" s="25"/>
      <c r="V27" s="25"/>
      <c r="W27" s="25"/>
      <c r="X27" s="25"/>
    </row>
    <row r="28" spans="1:24" s="26" customFormat="1" ht="16.5" thickBot="1" x14ac:dyDescent="0.3">
      <c r="A28" s="47" t="s">
        <v>40</v>
      </c>
      <c r="B28" s="30">
        <f>N49/N47 %</f>
        <v>99.999901737864135</v>
      </c>
      <c r="C28" s="42">
        <f>O49/O47 %</f>
        <v>99.999914737920008</v>
      </c>
      <c r="D28" s="31">
        <f>P49/P47 %</f>
        <v>99.99992035079633</v>
      </c>
      <c r="E28" s="25"/>
      <c r="F28" s="30">
        <f>R49/R47 %</f>
        <v>99.99990173577207</v>
      </c>
      <c r="G28" s="42">
        <f>S49/S47 %</f>
        <v>99.999925729889512</v>
      </c>
      <c r="H28" s="31">
        <f>T49/T47 %</f>
        <v>99.999913353747203</v>
      </c>
      <c r="I28" s="25"/>
      <c r="J28" s="48" t="s">
        <v>46</v>
      </c>
      <c r="K28" s="54">
        <v>32</v>
      </c>
      <c r="L28" s="54">
        <v>32</v>
      </c>
      <c r="M28" s="54">
        <v>32</v>
      </c>
      <c r="N28" s="25"/>
      <c r="O28" s="54">
        <v>32</v>
      </c>
      <c r="P28" s="54">
        <v>32</v>
      </c>
      <c r="Q28" s="54">
        <v>32</v>
      </c>
      <c r="R28" s="25"/>
      <c r="S28" s="25"/>
      <c r="T28" s="25"/>
      <c r="U28" s="25"/>
      <c r="V28" s="25"/>
      <c r="W28" s="25"/>
      <c r="X28" s="25"/>
    </row>
    <row r="29" spans="1:24" s="26" customFormat="1" ht="16.5" thickBot="1" x14ac:dyDescent="0.3">
      <c r="A29" s="48" t="s">
        <v>41</v>
      </c>
      <c r="B29" s="32">
        <f>N58/N47</f>
        <v>53.335132021730345</v>
      </c>
      <c r="C29" s="43">
        <f>O58/O47</f>
        <v>53.371793826059104</v>
      </c>
      <c r="D29" s="33">
        <f>P58/P47</f>
        <v>53.347020429489746</v>
      </c>
      <c r="E29" s="25"/>
      <c r="F29" s="32">
        <f>R58/R47</f>
        <v>43.439218989365514</v>
      </c>
      <c r="G29" s="43">
        <f>S58/S47</f>
        <v>53.344072254914828</v>
      </c>
      <c r="H29" s="33">
        <f>T58/T47</f>
        <v>53.368371592605165</v>
      </c>
      <c r="I29" s="25"/>
      <c r="J29" s="45" t="s">
        <v>44</v>
      </c>
      <c r="K29" s="55">
        <v>1266</v>
      </c>
      <c r="L29" s="55">
        <v>1272</v>
      </c>
      <c r="M29" s="55">
        <v>1210</v>
      </c>
      <c r="N29" s="25"/>
      <c r="O29" s="55">
        <v>1521</v>
      </c>
      <c r="P29" s="55">
        <v>2033</v>
      </c>
      <c r="Q29" s="55">
        <v>2546</v>
      </c>
      <c r="R29" s="25"/>
      <c r="S29" s="25"/>
      <c r="T29" s="25"/>
      <c r="U29" s="25"/>
      <c r="V29" s="25"/>
      <c r="W29" s="25"/>
      <c r="X29" s="25"/>
    </row>
    <row r="30" spans="1:24" s="26" customFormat="1" ht="16.5" thickBot="1" x14ac:dyDescent="0.3">
      <c r="A30" s="46" t="s">
        <v>39</v>
      </c>
      <c r="B30" s="30">
        <f>N52/N51 %</f>
        <v>93.356729289045802</v>
      </c>
      <c r="C30" s="42">
        <f>O52/O51 %</f>
        <v>84.171745640302973</v>
      </c>
      <c r="D30" s="31">
        <f>P52/P51 %</f>
        <v>83.301770684148849</v>
      </c>
      <c r="E30" s="25"/>
      <c r="F30" s="30">
        <f>R52/R51 %</f>
        <v>89.775309984606082</v>
      </c>
      <c r="G30" s="42">
        <f>S52/S51 %</f>
        <v>83.448698409294565</v>
      </c>
      <c r="H30" s="31">
        <f>T52/T51 %</f>
        <v>83.378464590146351</v>
      </c>
      <c r="I30" s="25"/>
      <c r="J30" s="45" t="s">
        <v>25</v>
      </c>
      <c r="K30" s="55">
        <v>5</v>
      </c>
      <c r="L30" s="55">
        <v>10</v>
      </c>
      <c r="M30" s="55">
        <v>20</v>
      </c>
      <c r="N30" s="25"/>
      <c r="O30" s="55">
        <v>5</v>
      </c>
      <c r="P30" s="55">
        <v>10</v>
      </c>
      <c r="Q30" s="55">
        <v>20</v>
      </c>
      <c r="R30" s="25"/>
      <c r="S30" s="25"/>
      <c r="T30" s="25"/>
      <c r="U30" s="25"/>
      <c r="V30" s="25"/>
      <c r="W30" s="25"/>
      <c r="X30" s="25"/>
    </row>
    <row r="31" spans="1:24" s="26" customFormat="1" ht="16.5" thickBot="1" x14ac:dyDescent="0.3">
      <c r="A31" s="47" t="s">
        <v>42</v>
      </c>
      <c r="B31" s="30">
        <f>N55/N53 %</f>
        <v>99.986050562675345</v>
      </c>
      <c r="C31" s="42">
        <f>O55/O53 %</f>
        <v>99.987951871355008</v>
      </c>
      <c r="D31" s="31">
        <f>P55/P53 %</f>
        <v>99.98857957684352</v>
      </c>
      <c r="E31" s="25"/>
      <c r="F31" s="30">
        <f>R55/R53 %</f>
        <v>99.990936655461084</v>
      </c>
      <c r="G31" s="42">
        <f>S55/S53 %</f>
        <v>99.994216323386183</v>
      </c>
      <c r="H31" s="31">
        <f>T55/T53 %</f>
        <v>99.995761375581054</v>
      </c>
      <c r="I31" s="25"/>
      <c r="J31" s="48" t="s">
        <v>48</v>
      </c>
      <c r="K31" s="54">
        <v>0.93700000000000006</v>
      </c>
      <c r="L31" s="54">
        <v>0.98</v>
      </c>
      <c r="M31" s="54">
        <v>1.0029999999999999</v>
      </c>
      <c r="N31" s="25"/>
      <c r="O31" s="54">
        <v>0.96</v>
      </c>
      <c r="P31" s="54">
        <v>0.98799999999999999</v>
      </c>
      <c r="Q31" s="54">
        <v>1.028</v>
      </c>
      <c r="R31" s="25"/>
      <c r="S31" s="25"/>
      <c r="T31" s="25"/>
      <c r="U31" s="25"/>
      <c r="V31" s="25"/>
      <c r="W31" s="25"/>
      <c r="X31" s="25"/>
    </row>
    <row r="32" spans="1:24" s="26" customFormat="1" ht="16.5" thickBot="1" x14ac:dyDescent="0.3">
      <c r="A32" s="48" t="s">
        <v>43</v>
      </c>
      <c r="B32" s="32">
        <f>N61/N53</f>
        <v>53.521536029033278</v>
      </c>
      <c r="C32" s="43">
        <f>O61/O53</f>
        <v>53.558370522051703</v>
      </c>
      <c r="D32" s="33">
        <f>P61/P53</f>
        <v>53.63689681877004</v>
      </c>
      <c r="E32" s="25"/>
      <c r="F32" s="32">
        <f>R61/R53</f>
        <v>53.440306640660111</v>
      </c>
      <c r="G32" s="43">
        <f>S61/S53</f>
        <v>53.504476103004968</v>
      </c>
      <c r="H32" s="33">
        <f>T61/T53</f>
        <v>53.59575225332415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s="26" customFormat="1" x14ac:dyDescent="0.25">
      <c r="A33" s="24"/>
      <c r="B33" s="25"/>
      <c r="C33" s="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s="26" customFormat="1" x14ac:dyDescent="0.25">
      <c r="A34" s="24"/>
      <c r="B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s="26" customFormat="1" x14ac:dyDescent="0.25">
      <c r="A35" s="24"/>
      <c r="B35" s="25"/>
      <c r="C35" s="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s="26" customFormat="1" x14ac:dyDescent="0.25">
      <c r="A36" s="24"/>
      <c r="B36" s="25"/>
      <c r="C36" s="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s="26" customFormat="1" x14ac:dyDescent="0.25">
      <c r="A37" s="24"/>
      <c r="B37" s="25"/>
      <c r="C37" s="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s="23" customFormat="1" x14ac:dyDescent="0.25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3"/>
      <c r="B39" s="3" t="s">
        <v>32</v>
      </c>
      <c r="C39" s="3" t="s">
        <v>32</v>
      </c>
      <c r="D39" s="3" t="s">
        <v>32</v>
      </c>
      <c r="E39" s="4"/>
      <c r="F39" s="3" t="s">
        <v>33</v>
      </c>
      <c r="G39" s="3" t="s">
        <v>33</v>
      </c>
      <c r="H39" s="3" t="s">
        <v>33</v>
      </c>
      <c r="I39" s="4"/>
      <c r="J39" s="3" t="s">
        <v>34</v>
      </c>
      <c r="K39" s="3" t="s">
        <v>34</v>
      </c>
      <c r="L39" s="3" t="s">
        <v>34</v>
      </c>
      <c r="M39" s="3"/>
      <c r="N39" s="3" t="s">
        <v>32</v>
      </c>
      <c r="O39" s="3" t="s">
        <v>32</v>
      </c>
      <c r="P39" s="3" t="s">
        <v>32</v>
      </c>
      <c r="Q39" s="3"/>
      <c r="R39" s="3" t="s">
        <v>33</v>
      </c>
      <c r="S39" s="3" t="s">
        <v>33</v>
      </c>
      <c r="T39" s="16" t="s">
        <v>33</v>
      </c>
    </row>
    <row r="40" spans="1:24" x14ac:dyDescent="0.25">
      <c r="A40" s="3"/>
      <c r="B40" s="3" t="s">
        <v>18</v>
      </c>
      <c r="C40" s="3" t="s">
        <v>18</v>
      </c>
      <c r="D40" s="3" t="s">
        <v>18</v>
      </c>
      <c r="E40" s="4"/>
      <c r="F40" s="3" t="s">
        <v>18</v>
      </c>
      <c r="G40" s="3" t="s">
        <v>18</v>
      </c>
      <c r="H40" s="3" t="s">
        <v>18</v>
      </c>
      <c r="I40" s="4"/>
      <c r="J40" s="3" t="s">
        <v>18</v>
      </c>
      <c r="K40" s="3" t="s">
        <v>18</v>
      </c>
      <c r="L40" s="3" t="s">
        <v>18</v>
      </c>
      <c r="M40" s="3"/>
      <c r="N40" s="3" t="s">
        <v>35</v>
      </c>
      <c r="O40" s="3" t="s">
        <v>35</v>
      </c>
      <c r="P40" s="3" t="s">
        <v>35</v>
      </c>
      <c r="Q40" s="3"/>
      <c r="R40" s="3" t="s">
        <v>35</v>
      </c>
      <c r="S40" s="3" t="s">
        <v>35</v>
      </c>
      <c r="T40" s="16" t="s">
        <v>35</v>
      </c>
    </row>
    <row r="41" spans="1:24" x14ac:dyDescent="0.25">
      <c r="A41" s="3"/>
      <c r="B41" s="3" t="s">
        <v>30</v>
      </c>
      <c r="C41" s="3" t="s">
        <v>19</v>
      </c>
      <c r="D41" s="3" t="s">
        <v>27</v>
      </c>
      <c r="E41" s="4"/>
      <c r="F41" s="3" t="s">
        <v>30</v>
      </c>
      <c r="G41" s="3" t="s">
        <v>19</v>
      </c>
      <c r="H41" s="3" t="s">
        <v>27</v>
      </c>
      <c r="I41" s="4"/>
      <c r="J41" s="3" t="s">
        <v>30</v>
      </c>
      <c r="K41" s="3" t="s">
        <v>19</v>
      </c>
      <c r="L41" s="3" t="s">
        <v>27</v>
      </c>
      <c r="M41" s="3"/>
      <c r="N41" s="3" t="s">
        <v>30</v>
      </c>
      <c r="O41" s="3" t="s">
        <v>19</v>
      </c>
      <c r="P41" s="3" t="s">
        <v>27</v>
      </c>
      <c r="Q41" s="3"/>
      <c r="R41" s="3" t="s">
        <v>30</v>
      </c>
      <c r="S41" s="3" t="s">
        <v>19</v>
      </c>
      <c r="T41" s="16" t="s">
        <v>27</v>
      </c>
    </row>
    <row r="42" spans="1:24" x14ac:dyDescent="0.25">
      <c r="A42" s="3" t="s">
        <v>5</v>
      </c>
      <c r="B42" s="5">
        <v>1502912270</v>
      </c>
      <c r="C42" s="5">
        <v>1502883983</v>
      </c>
      <c r="D42" s="5">
        <v>1502869923</v>
      </c>
      <c r="E42"/>
      <c r="F42" s="5">
        <v>1502900789</v>
      </c>
      <c r="G42" s="5">
        <v>1515102228</v>
      </c>
      <c r="H42" s="5">
        <v>1515287270</v>
      </c>
      <c r="I42"/>
      <c r="J42" s="5">
        <v>1502900789</v>
      </c>
      <c r="K42" s="5">
        <v>1502933677</v>
      </c>
      <c r="L42" s="5">
        <v>1502912401</v>
      </c>
      <c r="M42" s="5"/>
      <c r="N42" s="5">
        <v>1258420041</v>
      </c>
      <c r="O42" s="5">
        <v>1433532005</v>
      </c>
      <c r="P42" s="5">
        <v>1471519984</v>
      </c>
      <c r="Q42" s="5"/>
      <c r="R42" s="5">
        <v>1307294052</v>
      </c>
      <c r="S42" s="5">
        <v>1497554773</v>
      </c>
      <c r="T42" s="17">
        <v>1499124731</v>
      </c>
    </row>
    <row r="43" spans="1:24" x14ac:dyDescent="0.25">
      <c r="A43" s="3" t="s">
        <v>31</v>
      </c>
      <c r="B43" s="5">
        <v>29475</v>
      </c>
      <c r="C43" s="5">
        <v>29474</v>
      </c>
      <c r="D43" s="5">
        <v>29474</v>
      </c>
      <c r="E43"/>
      <c r="F43" s="5">
        <v>29474</v>
      </c>
      <c r="G43" s="5">
        <v>29718</v>
      </c>
      <c r="H43" s="5">
        <v>29722</v>
      </c>
      <c r="I43"/>
      <c r="J43" s="5">
        <v>29474</v>
      </c>
      <c r="K43" s="5">
        <v>29475</v>
      </c>
      <c r="L43" s="5">
        <v>29475</v>
      </c>
      <c r="M43" s="5"/>
      <c r="N43" s="5">
        <v>24585</v>
      </c>
      <c r="O43" s="5">
        <v>28087</v>
      </c>
      <c r="P43" s="5">
        <v>28848</v>
      </c>
      <c r="Q43" s="5"/>
      <c r="R43" s="5">
        <v>25562</v>
      </c>
      <c r="S43" s="5">
        <v>29367</v>
      </c>
      <c r="T43" s="17">
        <v>29399</v>
      </c>
    </row>
    <row r="44" spans="1:24" x14ac:dyDescent="0.25">
      <c r="A44" s="7"/>
      <c r="B44" s="8"/>
      <c r="C44" s="8"/>
      <c r="D44" s="8"/>
      <c r="E44" s="9"/>
      <c r="F44" s="8"/>
      <c r="G44" s="8"/>
      <c r="H44" s="8"/>
      <c r="I44" s="9"/>
      <c r="J44" s="8"/>
      <c r="K44" s="8"/>
      <c r="L44" s="8"/>
      <c r="M44" s="8"/>
      <c r="N44" s="8"/>
      <c r="O44" s="8"/>
      <c r="P44" s="8"/>
      <c r="Q44" s="8"/>
      <c r="R44" s="8"/>
      <c r="S44" s="8"/>
      <c r="T44" s="18"/>
    </row>
    <row r="45" spans="1:24" x14ac:dyDescent="0.25">
      <c r="A45" s="3" t="s">
        <v>0</v>
      </c>
      <c r="B45" s="5">
        <v>36272282</v>
      </c>
      <c r="C45" s="5">
        <v>36272882</v>
      </c>
      <c r="D45" s="5">
        <v>36272282</v>
      </c>
      <c r="E45"/>
      <c r="F45" s="5">
        <v>36272282</v>
      </c>
      <c r="G45" s="5">
        <v>36272282</v>
      </c>
      <c r="H45" s="5">
        <v>36272282</v>
      </c>
      <c r="I45"/>
      <c r="J45" s="5">
        <v>36272282</v>
      </c>
      <c r="K45" s="5">
        <v>36272282</v>
      </c>
      <c r="L45" s="5">
        <v>36272282</v>
      </c>
      <c r="M45" s="5"/>
      <c r="N45" s="5">
        <v>36272282</v>
      </c>
      <c r="O45" s="5">
        <v>36272282</v>
      </c>
      <c r="P45" s="5">
        <v>36272282</v>
      </c>
      <c r="Q45" s="5"/>
      <c r="R45" s="5">
        <v>36272282</v>
      </c>
      <c r="S45" s="5">
        <v>36272282</v>
      </c>
      <c r="T45" s="17">
        <v>36272282</v>
      </c>
    </row>
    <row r="46" spans="1:24" x14ac:dyDescent="0.25">
      <c r="A46" s="3" t="s">
        <v>1</v>
      </c>
      <c r="B46" s="5">
        <v>28145087</v>
      </c>
      <c r="C46" s="5">
        <v>28145120</v>
      </c>
      <c r="D46" s="5">
        <v>28145095</v>
      </c>
      <c r="E46"/>
      <c r="F46" s="5">
        <v>28145216</v>
      </c>
      <c r="G46" s="5">
        <v>27887545</v>
      </c>
      <c r="H46" s="5">
        <v>27887497</v>
      </c>
      <c r="I46"/>
      <c r="J46" s="5">
        <v>28145216</v>
      </c>
      <c r="K46" s="5">
        <v>28145076</v>
      </c>
      <c r="L46" s="5">
        <v>28145021</v>
      </c>
      <c r="M46" s="5"/>
      <c r="N46" s="5">
        <v>30166166</v>
      </c>
      <c r="O46" s="5">
        <v>29235156</v>
      </c>
      <c r="P46" s="5">
        <v>28739250</v>
      </c>
      <c r="Q46" s="5"/>
      <c r="R46" s="5">
        <v>30166296</v>
      </c>
      <c r="S46" s="5">
        <v>28193662</v>
      </c>
      <c r="T46" s="17">
        <v>28193456</v>
      </c>
    </row>
    <row r="47" spans="1:24" x14ac:dyDescent="0.25">
      <c r="A47" s="3" t="s">
        <v>2</v>
      </c>
      <c r="B47" s="5">
        <v>8127195</v>
      </c>
      <c r="C47" s="5">
        <v>8127162</v>
      </c>
      <c r="D47" s="5">
        <v>8127187</v>
      </c>
      <c r="E47"/>
      <c r="F47" s="5">
        <v>8127066</v>
      </c>
      <c r="G47" s="5">
        <v>8384737</v>
      </c>
      <c r="H47" s="5">
        <v>8384785</v>
      </c>
      <c r="I47"/>
      <c r="J47" s="5">
        <v>8127066</v>
      </c>
      <c r="K47" s="5">
        <v>8127206</v>
      </c>
      <c r="L47" s="5">
        <v>8127261</v>
      </c>
      <c r="M47" s="5"/>
      <c r="N47" s="5">
        <v>6106116</v>
      </c>
      <c r="O47" s="5">
        <v>7037126</v>
      </c>
      <c r="P47" s="5">
        <v>7533032</v>
      </c>
      <c r="Q47" s="5"/>
      <c r="R47" s="5">
        <v>6105986</v>
      </c>
      <c r="S47" s="5">
        <v>8078620</v>
      </c>
      <c r="T47" s="17">
        <v>8078826</v>
      </c>
    </row>
    <row r="48" spans="1:24" x14ac:dyDescent="0.25">
      <c r="A48" s="3" t="s">
        <v>3</v>
      </c>
      <c r="B48" s="5">
        <v>6</v>
      </c>
      <c r="C48" s="5">
        <v>6</v>
      </c>
      <c r="D48" s="5">
        <v>6</v>
      </c>
      <c r="E48"/>
      <c r="F48" s="5">
        <v>6</v>
      </c>
      <c r="G48" s="5">
        <v>6</v>
      </c>
      <c r="H48" s="5">
        <v>9</v>
      </c>
      <c r="I48"/>
      <c r="J48" s="5">
        <v>6</v>
      </c>
      <c r="K48" s="5">
        <v>6</v>
      </c>
      <c r="L48" s="5">
        <v>6</v>
      </c>
      <c r="M48" s="5"/>
      <c r="N48" s="5">
        <v>6</v>
      </c>
      <c r="O48" s="5">
        <v>6</v>
      </c>
      <c r="P48" s="5">
        <v>6</v>
      </c>
      <c r="Q48" s="5"/>
      <c r="R48" s="5">
        <v>6</v>
      </c>
      <c r="S48" s="5">
        <v>6</v>
      </c>
      <c r="T48" s="17">
        <v>7</v>
      </c>
    </row>
    <row r="49" spans="1:20" x14ac:dyDescent="0.25">
      <c r="A49" s="3" t="s">
        <v>4</v>
      </c>
      <c r="B49" s="5">
        <v>8127189</v>
      </c>
      <c r="C49" s="5">
        <v>8127156</v>
      </c>
      <c r="D49" s="5">
        <v>8127181</v>
      </c>
      <c r="E49"/>
      <c r="F49" s="5">
        <v>8127060</v>
      </c>
      <c r="G49" s="5">
        <v>8384731</v>
      </c>
      <c r="H49" s="5">
        <v>8384776</v>
      </c>
      <c r="I49"/>
      <c r="J49" s="5">
        <v>8127060</v>
      </c>
      <c r="K49" s="5">
        <v>8127200</v>
      </c>
      <c r="L49" s="5">
        <v>8127255</v>
      </c>
      <c r="M49" s="5"/>
      <c r="N49" s="5">
        <v>6106110</v>
      </c>
      <c r="O49" s="5">
        <v>7037120</v>
      </c>
      <c r="P49" s="5">
        <v>7533026</v>
      </c>
      <c r="Q49" s="5"/>
      <c r="R49" s="5">
        <v>6105980</v>
      </c>
      <c r="S49" s="5">
        <v>8078614</v>
      </c>
      <c r="T49" s="17">
        <v>8078819</v>
      </c>
    </row>
    <row r="50" spans="1:20" x14ac:dyDescent="0.25">
      <c r="A50" s="7"/>
      <c r="B50" s="8"/>
      <c r="C50" s="8"/>
      <c r="D50" s="8"/>
      <c r="E50" s="9"/>
      <c r="F50" s="8"/>
      <c r="G50" s="8"/>
      <c r="H50" s="8"/>
      <c r="I50" s="9"/>
      <c r="J50" s="8"/>
      <c r="K50" s="8"/>
      <c r="L50" s="8"/>
      <c r="M50" s="8"/>
      <c r="N50" s="8"/>
      <c r="O50" s="8"/>
      <c r="P50" s="8"/>
      <c r="Q50" s="8"/>
      <c r="R50" s="8"/>
      <c r="S50" s="8"/>
      <c r="T50" s="18"/>
    </row>
    <row r="51" spans="1:20" x14ac:dyDescent="0.25">
      <c r="A51" s="3" t="s">
        <v>6</v>
      </c>
      <c r="B51" s="5">
        <v>26114200</v>
      </c>
      <c r="C51" s="5">
        <v>26114200</v>
      </c>
      <c r="D51" s="5">
        <v>26114200</v>
      </c>
      <c r="E51"/>
      <c r="F51" s="5">
        <v>26114200</v>
      </c>
      <c r="G51" s="5">
        <v>26114200</v>
      </c>
      <c r="H51" s="5">
        <v>26114200</v>
      </c>
      <c r="I51"/>
      <c r="J51" s="5">
        <v>26114200</v>
      </c>
      <c r="K51" s="5">
        <v>26114200</v>
      </c>
      <c r="L51" s="5">
        <v>26114200</v>
      </c>
      <c r="M51" s="5"/>
      <c r="N51" s="5">
        <v>26114200</v>
      </c>
      <c r="O51" s="5">
        <v>26114200</v>
      </c>
      <c r="P51" s="5">
        <v>26114200</v>
      </c>
      <c r="Q51" s="5"/>
      <c r="R51" s="5">
        <v>26114200</v>
      </c>
      <c r="S51" s="5">
        <v>26114200</v>
      </c>
      <c r="T51" s="17">
        <v>26114200</v>
      </c>
    </row>
    <row r="52" spans="1:20" x14ac:dyDescent="0.25">
      <c r="A52" s="3" t="s">
        <v>7</v>
      </c>
      <c r="B52" s="5">
        <v>21753580</v>
      </c>
      <c r="C52" s="5">
        <v>21753587</v>
      </c>
      <c r="D52" s="5">
        <v>21753587</v>
      </c>
      <c r="E52"/>
      <c r="F52" s="5">
        <v>21753587</v>
      </c>
      <c r="G52" s="5">
        <v>21768536</v>
      </c>
      <c r="H52" s="5">
        <v>21768538</v>
      </c>
      <c r="I52"/>
      <c r="J52" s="5">
        <v>21753587</v>
      </c>
      <c r="K52" s="5">
        <v>21753587</v>
      </c>
      <c r="L52" s="5">
        <v>21753587</v>
      </c>
      <c r="M52" s="5"/>
      <c r="N52" s="5">
        <v>24379363</v>
      </c>
      <c r="O52" s="5">
        <v>21980778</v>
      </c>
      <c r="P52" s="5">
        <v>21753591</v>
      </c>
      <c r="Q52" s="5"/>
      <c r="R52" s="5">
        <v>23444104</v>
      </c>
      <c r="S52" s="5">
        <v>21791960</v>
      </c>
      <c r="T52" s="17">
        <v>21773619</v>
      </c>
    </row>
    <row r="53" spans="1:20" x14ac:dyDescent="0.25">
      <c r="A53" s="3" t="s">
        <v>8</v>
      </c>
      <c r="B53" s="5">
        <v>4360620</v>
      </c>
      <c r="C53" s="5">
        <v>4360613</v>
      </c>
      <c r="D53" s="5">
        <v>4360613</v>
      </c>
      <c r="E53"/>
      <c r="F53" s="5">
        <v>4360613</v>
      </c>
      <c r="G53" s="5">
        <v>4345664</v>
      </c>
      <c r="H53" s="5">
        <v>4345662</v>
      </c>
      <c r="I53"/>
      <c r="J53" s="5">
        <v>4360613</v>
      </c>
      <c r="K53" s="5">
        <v>4360613</v>
      </c>
      <c r="L53" s="5">
        <v>4360613</v>
      </c>
      <c r="M53" s="5"/>
      <c r="N53" s="5">
        <v>1734837</v>
      </c>
      <c r="O53" s="5">
        <v>4133422</v>
      </c>
      <c r="P53" s="5">
        <v>4360609</v>
      </c>
      <c r="Q53" s="5"/>
      <c r="R53" s="5">
        <v>2670096</v>
      </c>
      <c r="S53" s="5">
        <v>4322510</v>
      </c>
      <c r="T53" s="17">
        <v>4341031</v>
      </c>
    </row>
    <row r="54" spans="1:20" x14ac:dyDescent="0.25">
      <c r="A54" s="3" t="s">
        <v>9</v>
      </c>
      <c r="B54" s="5">
        <v>242</v>
      </c>
      <c r="C54" s="5">
        <v>242</v>
      </c>
      <c r="D54" s="5">
        <v>242</v>
      </c>
      <c r="E54"/>
      <c r="F54" s="5">
        <v>242</v>
      </c>
      <c r="G54" s="5">
        <v>120</v>
      </c>
      <c r="H54" s="5">
        <v>87</v>
      </c>
      <c r="I54"/>
      <c r="J54" s="5">
        <v>242</v>
      </c>
      <c r="K54" s="5">
        <v>242</v>
      </c>
      <c r="L54" s="5">
        <v>242</v>
      </c>
      <c r="M54" s="5"/>
      <c r="N54" s="5">
        <v>242</v>
      </c>
      <c r="O54" s="5">
        <v>498</v>
      </c>
      <c r="P54" s="5">
        <v>498</v>
      </c>
      <c r="Q54" s="5"/>
      <c r="R54" s="5">
        <v>242</v>
      </c>
      <c r="S54" s="5">
        <v>250</v>
      </c>
      <c r="T54" s="17">
        <v>184</v>
      </c>
    </row>
    <row r="55" spans="1:20" x14ac:dyDescent="0.25">
      <c r="A55" s="3" t="s">
        <v>10</v>
      </c>
      <c r="B55" s="5">
        <v>4360378</v>
      </c>
      <c r="C55" s="5">
        <v>4360371</v>
      </c>
      <c r="D55" s="5">
        <v>4360371</v>
      </c>
      <c r="E55"/>
      <c r="F55" s="5">
        <v>4360371</v>
      </c>
      <c r="G55" s="5">
        <v>4345544</v>
      </c>
      <c r="H55" s="5">
        <v>4345775</v>
      </c>
      <c r="I55"/>
      <c r="J55" s="5">
        <v>4360371</v>
      </c>
      <c r="K55" s="5">
        <v>4360371</v>
      </c>
      <c r="L55" s="5">
        <v>4360371</v>
      </c>
      <c r="M55" s="5"/>
      <c r="N55" s="5">
        <v>1734595</v>
      </c>
      <c r="O55" s="5">
        <v>4132924</v>
      </c>
      <c r="P55" s="5">
        <v>4360111</v>
      </c>
      <c r="Q55" s="5"/>
      <c r="R55" s="5">
        <v>2669854</v>
      </c>
      <c r="S55" s="5">
        <v>4322260</v>
      </c>
      <c r="T55" s="17">
        <v>4340847</v>
      </c>
    </row>
    <row r="56" spans="1:20" x14ac:dyDescent="0.25">
      <c r="A56" s="10"/>
      <c r="B56" s="11"/>
      <c r="C56" s="11"/>
      <c r="D56" s="11"/>
      <c r="E56" s="12"/>
      <c r="F56" s="11"/>
      <c r="G56" s="11"/>
      <c r="H56" s="11"/>
      <c r="I56" s="12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9"/>
    </row>
    <row r="57" spans="1:20" x14ac:dyDescent="0.25">
      <c r="A57" s="3" t="s">
        <v>13</v>
      </c>
      <c r="B57" s="5">
        <v>28145087</v>
      </c>
      <c r="C57" s="5">
        <v>28145120</v>
      </c>
      <c r="D57" s="5">
        <v>28145095</v>
      </c>
      <c r="E57"/>
      <c r="F57" s="5">
        <v>28145216</v>
      </c>
      <c r="G57" s="5">
        <v>27887545</v>
      </c>
      <c r="H57" s="5">
        <v>27887497</v>
      </c>
      <c r="I57"/>
      <c r="J57" s="5">
        <v>28145216</v>
      </c>
      <c r="K57" s="5">
        <v>28145076</v>
      </c>
      <c r="L57" s="5">
        <v>28145021</v>
      </c>
      <c r="M57" s="5"/>
      <c r="N57" s="5">
        <v>30166166</v>
      </c>
      <c r="O57" s="5">
        <v>29235156</v>
      </c>
      <c r="P57" s="5">
        <v>28739520</v>
      </c>
      <c r="Q57" s="5"/>
      <c r="R57" s="5">
        <v>30166296</v>
      </c>
      <c r="S57" s="5">
        <v>28193662</v>
      </c>
      <c r="T57" s="17">
        <v>28193456</v>
      </c>
    </row>
    <row r="58" spans="1:20" x14ac:dyDescent="0.25">
      <c r="A58" s="3" t="s">
        <v>11</v>
      </c>
      <c r="B58" s="5">
        <v>433746070</v>
      </c>
      <c r="C58" s="5">
        <v>433684071</v>
      </c>
      <c r="D58" s="5">
        <v>433693169</v>
      </c>
      <c r="E58"/>
      <c r="F58" s="5">
        <v>433718548</v>
      </c>
      <c r="G58" s="5">
        <v>447435293</v>
      </c>
      <c r="H58" s="5">
        <v>447247489</v>
      </c>
      <c r="I58"/>
      <c r="J58" s="5">
        <v>433718548</v>
      </c>
      <c r="K58" s="5">
        <v>433765876</v>
      </c>
      <c r="L58" s="5">
        <v>433727679</v>
      </c>
      <c r="M58" s="5"/>
      <c r="N58" s="5">
        <v>325670503</v>
      </c>
      <c r="O58" s="5">
        <v>375584038</v>
      </c>
      <c r="P58" s="5">
        <v>401864812</v>
      </c>
      <c r="Q58" s="5"/>
      <c r="R58" s="5">
        <v>265239263</v>
      </c>
      <c r="S58" s="5">
        <v>430946489</v>
      </c>
      <c r="T58" s="17">
        <v>431153788</v>
      </c>
    </row>
    <row r="59" spans="1:20" x14ac:dyDescent="0.25">
      <c r="A59" s="7"/>
      <c r="B59" s="8"/>
      <c r="C59" s="8"/>
      <c r="D59" s="8"/>
      <c r="E59" s="9"/>
      <c r="F59" s="8"/>
      <c r="G59" s="8"/>
      <c r="H59" s="8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18"/>
    </row>
    <row r="60" spans="1:20" x14ac:dyDescent="0.25">
      <c r="A60" s="3" t="s">
        <v>14</v>
      </c>
      <c r="B60" s="5">
        <v>21753580</v>
      </c>
      <c r="C60" s="5">
        <v>21753587</v>
      </c>
      <c r="D60" s="5">
        <v>21753587</v>
      </c>
      <c r="E60"/>
      <c r="F60" s="5">
        <v>21753587</v>
      </c>
      <c r="G60" s="5">
        <v>21768536</v>
      </c>
      <c r="H60" s="5">
        <v>21768538</v>
      </c>
      <c r="I60"/>
      <c r="J60" s="5">
        <v>21753587</v>
      </c>
      <c r="K60" s="5">
        <v>21753587</v>
      </c>
      <c r="L60" s="5">
        <v>21753587</v>
      </c>
      <c r="M60" s="5"/>
      <c r="N60" s="5">
        <v>24379363</v>
      </c>
      <c r="O60" s="5">
        <v>21980778</v>
      </c>
      <c r="P60" s="5">
        <v>21753591</v>
      </c>
      <c r="Q60" s="5"/>
      <c r="R60" s="5">
        <v>23444104</v>
      </c>
      <c r="S60" s="5">
        <v>21791690</v>
      </c>
      <c r="T60" s="17">
        <v>21773169</v>
      </c>
    </row>
    <row r="61" spans="1:20" x14ac:dyDescent="0.25">
      <c r="A61" s="3" t="s">
        <v>12</v>
      </c>
      <c r="B61" s="5">
        <v>233921818</v>
      </c>
      <c r="C61" s="5">
        <v>233940332</v>
      </c>
      <c r="D61" s="5">
        <v>233931280</v>
      </c>
      <c r="E61"/>
      <c r="F61" s="5">
        <v>233934193</v>
      </c>
      <c r="G61" s="5">
        <v>232668318</v>
      </c>
      <c r="H61" s="5">
        <v>233043306</v>
      </c>
      <c r="I61"/>
      <c r="J61" s="5">
        <v>233934193</v>
      </c>
      <c r="K61" s="5">
        <v>233920046</v>
      </c>
      <c r="L61" s="5">
        <v>233937703</v>
      </c>
      <c r="M61" s="5"/>
      <c r="N61" s="5">
        <v>92851141</v>
      </c>
      <c r="O61" s="5">
        <v>221379347</v>
      </c>
      <c r="P61" s="5">
        <v>233889535</v>
      </c>
      <c r="Q61" s="5"/>
      <c r="R61" s="5">
        <v>142690749</v>
      </c>
      <c r="S61" s="5">
        <v>231273633</v>
      </c>
      <c r="T61" s="17">
        <v>232660822</v>
      </c>
    </row>
    <row r="62" spans="1:20" x14ac:dyDescent="0.25">
      <c r="A62" s="7"/>
      <c r="B62" s="8"/>
      <c r="C62" s="8"/>
      <c r="D62" s="8"/>
      <c r="E62" s="9"/>
      <c r="F62" s="8"/>
      <c r="G62" s="8"/>
      <c r="H62" s="8"/>
      <c r="I62" s="9"/>
      <c r="J62" s="8"/>
      <c r="K62" s="8"/>
      <c r="L62" s="8"/>
      <c r="M62" s="8"/>
      <c r="N62" s="8"/>
      <c r="O62" s="8"/>
      <c r="P62" s="8"/>
      <c r="Q62" s="8"/>
      <c r="R62" s="8"/>
      <c r="S62" s="8"/>
      <c r="T62" s="18"/>
    </row>
    <row r="63" spans="1:20" x14ac:dyDescent="0.25">
      <c r="A63" s="3" t="s">
        <v>16</v>
      </c>
      <c r="B63" s="5">
        <v>667667888</v>
      </c>
      <c r="C63" s="5">
        <v>667624403</v>
      </c>
      <c r="D63" s="5">
        <v>667624449</v>
      </c>
      <c r="E63"/>
      <c r="F63" s="5">
        <v>667652741</v>
      </c>
      <c r="G63" s="5">
        <v>680103611</v>
      </c>
      <c r="H63" s="5">
        <v>680290795</v>
      </c>
      <c r="I63"/>
      <c r="J63" s="5">
        <v>667652741</v>
      </c>
      <c r="K63" s="5">
        <v>667685922</v>
      </c>
      <c r="L63" s="5">
        <v>667665382</v>
      </c>
      <c r="M63" s="5"/>
      <c r="N63" s="5">
        <v>418521644</v>
      </c>
      <c r="O63" s="5">
        <v>596963385</v>
      </c>
      <c r="P63" s="5">
        <v>635754347</v>
      </c>
      <c r="Q63" s="5"/>
      <c r="R63" s="5">
        <v>468330012</v>
      </c>
      <c r="S63" s="5">
        <v>662220122</v>
      </c>
      <c r="T63" s="17">
        <v>663814670</v>
      </c>
    </row>
    <row r="64" spans="1:20" x14ac:dyDescent="0.25">
      <c r="A64" s="3" t="s">
        <v>15</v>
      </c>
      <c r="B64" s="5">
        <v>667659462</v>
      </c>
      <c r="C64" s="5">
        <v>667616027</v>
      </c>
      <c r="D64" s="5">
        <v>667616036</v>
      </c>
      <c r="E64"/>
      <c r="F64" s="5">
        <v>667644295</v>
      </c>
      <c r="G64" s="5">
        <v>680099301</v>
      </c>
      <c r="H64" s="5">
        <v>680287500</v>
      </c>
      <c r="I64"/>
      <c r="J64" s="5">
        <v>667644295</v>
      </c>
      <c r="K64" s="5">
        <v>667677529</v>
      </c>
      <c r="L64" s="5">
        <v>667657003</v>
      </c>
      <c r="M64" s="5"/>
      <c r="N64" s="5">
        <v>418513230</v>
      </c>
      <c r="O64" s="5">
        <v>596946317</v>
      </c>
      <c r="P64" s="5">
        <v>635737206</v>
      </c>
      <c r="Q64" s="5"/>
      <c r="R64" s="5">
        <v>468321610</v>
      </c>
      <c r="S64" s="5">
        <v>662211471</v>
      </c>
      <c r="T64" s="17">
        <v>663808150</v>
      </c>
    </row>
    <row r="65" spans="1:20" x14ac:dyDescent="0.25">
      <c r="A65" s="3" t="s">
        <v>17</v>
      </c>
      <c r="B65" s="5">
        <v>8426</v>
      </c>
      <c r="C65" s="5">
        <v>8376</v>
      </c>
      <c r="D65" s="5">
        <v>8413</v>
      </c>
      <c r="E65"/>
      <c r="F65" s="5">
        <v>8446</v>
      </c>
      <c r="G65" s="5">
        <v>4310</v>
      </c>
      <c r="H65" s="5">
        <v>3295</v>
      </c>
      <c r="I65"/>
      <c r="J65" s="5">
        <v>8446</v>
      </c>
      <c r="K65" s="5">
        <v>8393</v>
      </c>
      <c r="L65" s="5">
        <v>8379</v>
      </c>
      <c r="M65" s="5"/>
      <c r="N65" s="5">
        <v>8414</v>
      </c>
      <c r="O65" s="5">
        <v>17068</v>
      </c>
      <c r="P65" s="5">
        <v>17141</v>
      </c>
      <c r="Q65" s="5"/>
      <c r="R65" s="5">
        <v>8402</v>
      </c>
      <c r="S65" s="5">
        <v>8651</v>
      </c>
      <c r="T65" s="17">
        <v>6520</v>
      </c>
    </row>
    <row r="66" spans="1:20" x14ac:dyDescent="0.25">
      <c r="A66" s="13"/>
      <c r="B66" s="14"/>
      <c r="C66" s="14"/>
      <c r="D66" s="14"/>
      <c r="E66" s="15"/>
      <c r="F66" s="14"/>
      <c r="G66" s="14"/>
      <c r="H66" s="14"/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20"/>
    </row>
    <row r="67" spans="1:20" x14ac:dyDescent="0.25">
      <c r="A67" s="3" t="s">
        <v>20</v>
      </c>
      <c r="B67" s="5">
        <v>1712</v>
      </c>
      <c r="C67" s="5">
        <v>2579</v>
      </c>
      <c r="D67" s="5">
        <v>2985</v>
      </c>
      <c r="E67"/>
      <c r="F67" s="5">
        <v>2198</v>
      </c>
      <c r="G67" s="5">
        <v>3210</v>
      </c>
      <c r="H67" s="5">
        <v>4103</v>
      </c>
      <c r="I67"/>
      <c r="J67" s="5">
        <v>2198</v>
      </c>
      <c r="K67" s="5">
        <v>2644</v>
      </c>
      <c r="L67" s="5">
        <v>3046</v>
      </c>
      <c r="M67" s="5"/>
      <c r="N67" s="5">
        <v>1971</v>
      </c>
      <c r="O67" s="5">
        <v>2759</v>
      </c>
      <c r="P67" s="5">
        <v>2862</v>
      </c>
      <c r="Q67" s="5"/>
      <c r="R67" s="5">
        <v>2518</v>
      </c>
      <c r="S67" s="5">
        <v>4096</v>
      </c>
      <c r="T67" s="17">
        <v>4861</v>
      </c>
    </row>
    <row r="68" spans="1:20" x14ac:dyDescent="0.25">
      <c r="A68" s="3" t="s">
        <v>21</v>
      </c>
      <c r="B68" s="5">
        <v>1136</v>
      </c>
      <c r="C68" s="5">
        <v>1136</v>
      </c>
      <c r="D68" s="5">
        <v>1296</v>
      </c>
      <c r="E68"/>
      <c r="F68" s="5">
        <v>1263</v>
      </c>
      <c r="G68" s="5">
        <v>1518</v>
      </c>
      <c r="H68" s="5">
        <v>1959</v>
      </c>
      <c r="I68"/>
      <c r="J68" s="5">
        <v>1263</v>
      </c>
      <c r="K68" s="5">
        <v>1200</v>
      </c>
      <c r="L68" s="5">
        <v>1417</v>
      </c>
      <c r="M68" s="5"/>
      <c r="N68" s="5">
        <v>1266</v>
      </c>
      <c r="O68" s="5">
        <v>1272</v>
      </c>
      <c r="P68" s="5">
        <v>1210</v>
      </c>
      <c r="Q68" s="5"/>
      <c r="R68" s="5">
        <v>1521</v>
      </c>
      <c r="S68" s="5">
        <v>2033</v>
      </c>
      <c r="T68" s="17">
        <v>2546</v>
      </c>
    </row>
    <row r="69" spans="1:20" x14ac:dyDescent="0.25">
      <c r="A69" s="3" t="s">
        <v>22</v>
      </c>
      <c r="B69" s="5">
        <v>639</v>
      </c>
      <c r="C69" s="5">
        <v>877</v>
      </c>
      <c r="D69" s="5">
        <v>968</v>
      </c>
      <c r="E69"/>
      <c r="F69" s="5">
        <v>746</v>
      </c>
      <c r="G69" s="5">
        <v>1053</v>
      </c>
      <c r="H69" s="5">
        <v>1266</v>
      </c>
      <c r="I69"/>
      <c r="J69" s="5">
        <v>746</v>
      </c>
      <c r="K69" s="5">
        <v>864</v>
      </c>
      <c r="L69" s="5">
        <v>999</v>
      </c>
      <c r="M69" s="5"/>
      <c r="N69" s="5">
        <v>8</v>
      </c>
      <c r="O69" s="5">
        <v>925</v>
      </c>
      <c r="P69" s="5">
        <v>930</v>
      </c>
      <c r="Q69" s="5"/>
      <c r="R69" s="5">
        <v>106</v>
      </c>
      <c r="S69" s="5">
        <v>178</v>
      </c>
      <c r="T69" s="17">
        <v>408</v>
      </c>
    </row>
    <row r="70" spans="1:20" x14ac:dyDescent="0.25">
      <c r="A70" s="3" t="s">
        <v>28</v>
      </c>
      <c r="B70" s="5">
        <v>8</v>
      </c>
      <c r="C70" s="5">
        <v>0</v>
      </c>
      <c r="D70" s="5">
        <v>290</v>
      </c>
      <c r="E70"/>
      <c r="F70" s="5">
        <v>43</v>
      </c>
      <c r="G70" s="5">
        <v>108</v>
      </c>
      <c r="H70" s="5">
        <v>356</v>
      </c>
      <c r="I70"/>
      <c r="J70" s="5">
        <v>43</v>
      </c>
      <c r="K70" s="5">
        <v>23</v>
      </c>
      <c r="L70" s="5">
        <v>438</v>
      </c>
      <c r="M70" s="5"/>
      <c r="N70" s="5">
        <v>0</v>
      </c>
      <c r="O70" s="5">
        <v>72</v>
      </c>
      <c r="P70" s="5">
        <v>327</v>
      </c>
      <c r="Q70" s="5"/>
      <c r="R70" s="5">
        <v>33</v>
      </c>
      <c r="S70" s="5">
        <v>16</v>
      </c>
      <c r="T70" s="17">
        <v>112</v>
      </c>
    </row>
    <row r="71" spans="1:20" x14ac:dyDescent="0.25">
      <c r="A71" s="3" t="s">
        <v>29</v>
      </c>
      <c r="B71" s="5">
        <v>0</v>
      </c>
      <c r="C71" s="5">
        <v>0</v>
      </c>
      <c r="D71" s="5">
        <v>7</v>
      </c>
      <c r="E71"/>
      <c r="F71" s="5">
        <v>14</v>
      </c>
      <c r="G71" s="5">
        <v>27</v>
      </c>
      <c r="H71" s="5">
        <v>33</v>
      </c>
      <c r="I71"/>
      <c r="J71" s="5">
        <v>14</v>
      </c>
      <c r="K71" s="5">
        <v>0</v>
      </c>
      <c r="L71" s="5">
        <v>31</v>
      </c>
      <c r="M71" s="5"/>
      <c r="N71" s="5">
        <v>737</v>
      </c>
      <c r="O71" s="5">
        <v>9</v>
      </c>
      <c r="P71" s="5">
        <v>18</v>
      </c>
      <c r="Q71" s="5"/>
      <c r="R71" s="5">
        <v>831</v>
      </c>
      <c r="S71" s="5">
        <v>1279</v>
      </c>
      <c r="T71" s="17">
        <v>1417</v>
      </c>
    </row>
    <row r="72" spans="1:20" x14ac:dyDescent="0.25">
      <c r="A72" s="3" t="s">
        <v>23</v>
      </c>
      <c r="B72" s="5">
        <v>1696</v>
      </c>
      <c r="C72" s="5">
        <v>2563</v>
      </c>
      <c r="D72" s="5">
        <v>2769</v>
      </c>
      <c r="E72"/>
      <c r="F72" s="5">
        <v>2182</v>
      </c>
      <c r="G72" s="5">
        <v>3194</v>
      </c>
      <c r="H72" s="5">
        <v>3887</v>
      </c>
      <c r="I72"/>
      <c r="J72" s="5">
        <v>2182</v>
      </c>
      <c r="K72" s="5">
        <v>2628</v>
      </c>
      <c r="L72" s="5">
        <v>2830</v>
      </c>
      <c r="M72" s="5"/>
      <c r="N72" s="5">
        <v>1939</v>
      </c>
      <c r="O72" s="5">
        <v>2727</v>
      </c>
      <c r="P72" s="5">
        <v>2830</v>
      </c>
      <c r="Q72" s="5"/>
      <c r="R72" s="5">
        <v>2486</v>
      </c>
      <c r="S72" s="5">
        <v>4064</v>
      </c>
      <c r="T72" s="17">
        <v>4829</v>
      </c>
    </row>
    <row r="73" spans="1:20" x14ac:dyDescent="0.25">
      <c r="A73" s="3" t="s">
        <v>24</v>
      </c>
      <c r="B73" s="5">
        <v>16</v>
      </c>
      <c r="C73" s="5">
        <v>16</v>
      </c>
      <c r="D73" s="5">
        <v>216</v>
      </c>
      <c r="E73"/>
      <c r="F73" s="5">
        <v>16</v>
      </c>
      <c r="G73" s="5">
        <v>16</v>
      </c>
      <c r="H73" s="5">
        <v>216</v>
      </c>
      <c r="I73"/>
      <c r="J73" s="5">
        <v>16</v>
      </c>
      <c r="K73" s="5">
        <v>16</v>
      </c>
      <c r="L73" s="5">
        <v>216</v>
      </c>
      <c r="M73" s="5"/>
      <c r="N73" s="5">
        <v>32</v>
      </c>
      <c r="O73" s="5">
        <v>32</v>
      </c>
      <c r="P73" s="5">
        <v>32</v>
      </c>
      <c r="Q73" s="5"/>
      <c r="R73" s="5">
        <v>32</v>
      </c>
      <c r="S73" s="5">
        <v>32</v>
      </c>
      <c r="T73" s="17">
        <v>32</v>
      </c>
    </row>
    <row r="74" spans="1:20" x14ac:dyDescent="0.25">
      <c r="A74" s="3" t="s">
        <v>25</v>
      </c>
      <c r="B74" s="5">
        <v>5</v>
      </c>
      <c r="C74" s="5">
        <v>10</v>
      </c>
      <c r="D74" s="5">
        <v>16</v>
      </c>
      <c r="E74"/>
      <c r="F74" s="5">
        <v>5</v>
      </c>
      <c r="G74" s="5">
        <v>10</v>
      </c>
      <c r="H74" s="5">
        <v>16</v>
      </c>
      <c r="I74"/>
      <c r="J74" s="5">
        <v>5</v>
      </c>
      <c r="K74" s="5">
        <v>10</v>
      </c>
      <c r="L74" s="5">
        <v>16</v>
      </c>
      <c r="M74" s="5"/>
      <c r="N74" s="5">
        <v>5</v>
      </c>
      <c r="O74" s="5">
        <v>10</v>
      </c>
      <c r="P74" s="5">
        <v>20</v>
      </c>
      <c r="Q74" s="5"/>
      <c r="R74" s="5">
        <v>5</v>
      </c>
      <c r="S74" s="5">
        <v>10</v>
      </c>
      <c r="T74" s="17">
        <v>20</v>
      </c>
    </row>
    <row r="75" spans="1:20" x14ac:dyDescent="0.25">
      <c r="A75" s="3" t="s">
        <v>26</v>
      </c>
      <c r="B75" s="5">
        <v>0.96099999999999997</v>
      </c>
      <c r="C75" s="5">
        <v>0.98</v>
      </c>
      <c r="D75" s="5">
        <v>0.997</v>
      </c>
      <c r="E75"/>
      <c r="F75" s="5">
        <v>0.95699999999999996</v>
      </c>
      <c r="G75" s="5">
        <v>0.97899999999999998</v>
      </c>
      <c r="H75" s="5">
        <v>1.0069999999999999</v>
      </c>
      <c r="I75"/>
      <c r="J75" s="5">
        <v>0.95699999999999996</v>
      </c>
      <c r="K75" s="5">
        <v>0.97499999999999998</v>
      </c>
      <c r="L75" s="5">
        <v>0.98699999999999999</v>
      </c>
      <c r="M75" s="5"/>
      <c r="N75" s="5">
        <v>0.93700000000000006</v>
      </c>
      <c r="O75" s="5">
        <v>0.98</v>
      </c>
      <c r="P75" s="5">
        <v>1.0029999999999999</v>
      </c>
      <c r="Q75" s="5"/>
      <c r="R75" s="5">
        <v>0.96</v>
      </c>
      <c r="S75" s="5">
        <v>0.98799999999999999</v>
      </c>
      <c r="T75" s="17">
        <v>1.028</v>
      </c>
    </row>
    <row r="76" spans="1:20" x14ac:dyDescent="0.25">
      <c r="A76" s="3" t="s">
        <v>36</v>
      </c>
      <c r="I76"/>
      <c r="K76" s="5"/>
      <c r="L76" s="5"/>
      <c r="M76" s="5"/>
      <c r="N76" s="5"/>
      <c r="O76" s="5"/>
      <c r="P76" s="5"/>
      <c r="Q76" s="5"/>
      <c r="R76" s="5"/>
      <c r="S76" s="5"/>
      <c r="T76" s="17">
        <v>-0.56000000000000005</v>
      </c>
    </row>
    <row r="86" spans="2:8" x14ac:dyDescent="0.25">
      <c r="B86" s="5"/>
      <c r="C86" s="5"/>
      <c r="D86" s="5"/>
      <c r="E86"/>
      <c r="F86" s="5"/>
      <c r="G86" s="5"/>
      <c r="H86" s="5"/>
    </row>
  </sheetData>
  <mergeCells count="20">
    <mergeCell ref="K23:M23"/>
    <mergeCell ref="K24:M24"/>
    <mergeCell ref="O23:Q23"/>
    <mergeCell ref="O24:Q24"/>
    <mergeCell ref="B23:D23"/>
    <mergeCell ref="B24:D24"/>
    <mergeCell ref="F23:H23"/>
    <mergeCell ref="F24:H24"/>
    <mergeCell ref="B13:D13"/>
    <mergeCell ref="B14:D14"/>
    <mergeCell ref="F13:H13"/>
    <mergeCell ref="F14:H14"/>
    <mergeCell ref="J13:L13"/>
    <mergeCell ref="J14:L14"/>
    <mergeCell ref="B2:D2"/>
    <mergeCell ref="F2:H2"/>
    <mergeCell ref="B3:D3"/>
    <mergeCell ref="F3:H3"/>
    <mergeCell ref="J2:L2"/>
    <mergeCell ref="J3:L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FIFO+LRU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</dc:creator>
  <cp:lastModifiedBy>彥宇 林</cp:lastModifiedBy>
  <dcterms:created xsi:type="dcterms:W3CDTF">2015-06-05T18:19:34Z</dcterms:created>
  <dcterms:modified xsi:type="dcterms:W3CDTF">2025-11-16T16:49:16Z</dcterms:modified>
</cp:coreProperties>
</file>